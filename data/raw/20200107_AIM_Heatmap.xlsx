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02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https://avaya365-my.sharepoint.com/personal/tomlambert_avaya_com/Documents/AgileLeads Working Folder/Heat map/Snapshots/"/>
    </mc:Choice>
  </mc:AlternateContent>
  <xr:revisionPtr revIDLastSave="13" documentId="8_{5811F831-21E9-4BC2-BC8C-E19318E07FFC}" xr6:coauthVersionLast="45" xr6:coauthVersionMax="45" xr10:uidLastSave="{788582B3-BB63-4858-A53A-500FF23A7357}"/>
  <bookViews>
    <workbookView xWindow="28680" yWindow="-1125" windowWidth="29040" windowHeight="15840" tabRatio="543" xr2:uid="{C56608A5-38C6-4B4F-831D-D6CD6285A38E}"/>
  </bookViews>
  <sheets>
    <sheet name="Original" sheetId="1" r:id="rId1"/>
    <sheet name="Eric" sheetId="14" r:id="rId2"/>
    <sheet name="by Product &amp; AIM Area" sheetId="12" state="hidden" r:id="rId3"/>
    <sheet name="lov" sheetId="2" state="hidden" r:id="rId4"/>
  </sheets>
  <definedNames>
    <definedName name="_xlnm._FilterDatabase" localSheetId="2" hidden="1">'by Product &amp; AIM Area'!$A$1:$AC$35</definedName>
    <definedName name="_xlnm._FilterDatabase" localSheetId="0" hidden="1">Original!$A$2:$BI$63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I4" i="1" l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4" i="1"/>
  <c r="BI23" i="1"/>
  <c r="BI25" i="1"/>
  <c r="BI26" i="1"/>
  <c r="BI29" i="1"/>
  <c r="BI28" i="1"/>
  <c r="BI27" i="1"/>
  <c r="BI30" i="1"/>
  <c r="BI34" i="1"/>
  <c r="BI32" i="1"/>
  <c r="BI31" i="1"/>
  <c r="BI33" i="1"/>
  <c r="BI36" i="1"/>
  <c r="BI37" i="1"/>
  <c r="BI40" i="1"/>
  <c r="BI38" i="1"/>
  <c r="BI39" i="1"/>
  <c r="BI35" i="1"/>
  <c r="BI41" i="1"/>
  <c r="BI42" i="1"/>
  <c r="BI44" i="1"/>
  <c r="BI43" i="1"/>
  <c r="BI45" i="1"/>
  <c r="BI46" i="1"/>
  <c r="BI47" i="1"/>
  <c r="BI48" i="1"/>
  <c r="BI49" i="1"/>
  <c r="BI51" i="1"/>
  <c r="BI52" i="1"/>
  <c r="BI50" i="1"/>
  <c r="BI54" i="1"/>
  <c r="BI53" i="1"/>
  <c r="BI55" i="1"/>
  <c r="BI56" i="1"/>
  <c r="BI58" i="1"/>
  <c r="BI59" i="1"/>
  <c r="BI60" i="1"/>
  <c r="BI61" i="1"/>
  <c r="BI57" i="1"/>
  <c r="BI62" i="1"/>
  <c r="BI3" i="1"/>
  <c r="AL15" i="14" l="1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 l="1"/>
  <c r="BJ38" i="1"/>
  <c r="BJ34" i="1"/>
  <c r="BJ32" i="1"/>
  <c r="BJ30" i="1"/>
  <c r="BJ27" i="1"/>
  <c r="BJ25" i="1"/>
  <c r="BJ23" i="1"/>
  <c r="BJ15" i="1"/>
  <c r="J63" i="1" l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BE48" i="1" l="1"/>
  <c r="A57" i="1"/>
  <c r="A62" i="1"/>
  <c r="H48" i="1"/>
  <c r="I48" i="1" s="1"/>
  <c r="G48" i="1"/>
  <c r="A61" i="1" l="1"/>
  <c r="A60" i="1"/>
  <c r="A59" i="1"/>
  <c r="A58" i="1"/>
  <c r="A56" i="1"/>
  <c r="A55" i="1"/>
  <c r="A53" i="1"/>
  <c r="A54" i="1"/>
  <c r="A50" i="1"/>
  <c r="A52" i="1"/>
  <c r="A51" i="1"/>
  <c r="A49" i="1"/>
  <c r="A48" i="1"/>
  <c r="A47" i="1"/>
  <c r="A46" i="1"/>
  <c r="A45" i="1"/>
  <c r="A43" i="1"/>
  <c r="A44" i="1"/>
  <c r="A42" i="1"/>
  <c r="A41" i="1"/>
  <c r="A35" i="1"/>
  <c r="A39" i="1"/>
  <c r="A38" i="1"/>
  <c r="A40" i="1"/>
  <c r="A37" i="1"/>
  <c r="A36" i="1"/>
  <c r="A33" i="1"/>
  <c r="A31" i="1"/>
  <c r="A32" i="1"/>
  <c r="A34" i="1"/>
  <c r="A30" i="1"/>
  <c r="A27" i="1"/>
  <c r="A28" i="1"/>
  <c r="A29" i="1"/>
  <c r="A26" i="1"/>
  <c r="A25" i="1"/>
  <c r="A23" i="1"/>
  <c r="A24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3" i="1"/>
  <c r="A4" i="1"/>
  <c r="H7" i="1" l="1"/>
  <c r="I7" i="1" s="1"/>
  <c r="H5" i="1"/>
  <c r="I5" i="1" s="1"/>
  <c r="H3" i="1"/>
  <c r="I3" i="1" s="1"/>
  <c r="H4" i="1"/>
  <c r="I4" i="1" s="1"/>
  <c r="H10" i="1"/>
  <c r="I10" i="1" s="1"/>
  <c r="H8" i="1"/>
  <c r="I8" i="1" s="1"/>
  <c r="H12" i="1"/>
  <c r="I12" i="1" s="1"/>
  <c r="H9" i="1"/>
  <c r="I9" i="1" s="1"/>
  <c r="H13" i="1"/>
  <c r="I13" i="1" s="1"/>
  <c r="H14" i="1"/>
  <c r="I14" i="1" s="1"/>
  <c r="H15" i="1"/>
  <c r="I15" i="1" s="1"/>
  <c r="H17" i="1"/>
  <c r="I17" i="1" s="1"/>
  <c r="H16" i="1"/>
  <c r="I16" i="1" s="1"/>
  <c r="H18" i="1"/>
  <c r="I18" i="1" s="1"/>
  <c r="H19" i="1"/>
  <c r="I19" i="1" s="1"/>
  <c r="H21" i="1"/>
  <c r="I21" i="1" s="1"/>
  <c r="H20" i="1"/>
  <c r="I20" i="1" s="1"/>
  <c r="H11" i="1"/>
  <c r="I11" i="1" s="1"/>
  <c r="H25" i="1"/>
  <c r="I25" i="1" s="1"/>
  <c r="H24" i="1"/>
  <c r="I24" i="1" s="1"/>
  <c r="H22" i="1"/>
  <c r="I22" i="1" s="1"/>
  <c r="H23" i="1"/>
  <c r="I23" i="1" s="1"/>
  <c r="H26" i="1"/>
  <c r="I26" i="1" s="1"/>
  <c r="H29" i="1"/>
  <c r="I29" i="1" s="1"/>
  <c r="H28" i="1"/>
  <c r="I28" i="1" s="1"/>
  <c r="H27" i="1"/>
  <c r="I27" i="1" s="1"/>
  <c r="H34" i="1"/>
  <c r="I34" i="1" s="1"/>
  <c r="H32" i="1"/>
  <c r="I32" i="1" s="1"/>
  <c r="H36" i="1"/>
  <c r="I36" i="1" s="1"/>
  <c r="H30" i="1"/>
  <c r="I30" i="1" s="1"/>
  <c r="H33" i="1"/>
  <c r="I33" i="1" s="1"/>
  <c r="H31" i="1"/>
  <c r="I31" i="1" s="1"/>
  <c r="H37" i="1"/>
  <c r="I37" i="1" s="1"/>
  <c r="H40" i="1"/>
  <c r="I40" i="1" s="1"/>
  <c r="H38" i="1"/>
  <c r="I38" i="1" s="1"/>
  <c r="H39" i="1"/>
  <c r="I39" i="1" s="1"/>
  <c r="H35" i="1"/>
  <c r="I35" i="1" s="1"/>
  <c r="H42" i="1"/>
  <c r="I42" i="1" s="1"/>
  <c r="H44" i="1"/>
  <c r="I44" i="1" s="1"/>
  <c r="H43" i="1"/>
  <c r="I43" i="1" s="1"/>
  <c r="H41" i="1"/>
  <c r="I41" i="1" s="1"/>
  <c r="H45" i="1"/>
  <c r="I45" i="1" s="1"/>
  <c r="H46" i="1"/>
  <c r="I46" i="1" s="1"/>
  <c r="H47" i="1"/>
  <c r="I47" i="1" s="1"/>
  <c r="H49" i="1"/>
  <c r="I49" i="1" s="1"/>
  <c r="H51" i="1"/>
  <c r="I51" i="1" s="1"/>
  <c r="H52" i="1"/>
  <c r="I52" i="1" s="1"/>
  <c r="H54" i="1"/>
  <c r="I54" i="1" s="1"/>
  <c r="H53" i="1"/>
  <c r="I53" i="1" s="1"/>
  <c r="H50" i="1"/>
  <c r="I50" i="1" s="1"/>
  <c r="H55" i="1"/>
  <c r="I55" i="1" s="1"/>
  <c r="H56" i="1"/>
  <c r="I56" i="1" s="1"/>
  <c r="H58" i="1"/>
  <c r="I58" i="1" s="1"/>
  <c r="H59" i="1"/>
  <c r="I59" i="1" s="1"/>
  <c r="H60" i="1"/>
  <c r="I60" i="1" s="1"/>
  <c r="H61" i="1"/>
  <c r="I61" i="1" s="1"/>
  <c r="H57" i="1"/>
  <c r="I57" i="1" s="1"/>
  <c r="H62" i="1"/>
  <c r="I62" i="1" s="1"/>
  <c r="H6" i="1"/>
  <c r="I6" i="1" s="1"/>
  <c r="A5" i="1" l="1"/>
  <c r="G62" i="1" l="1"/>
  <c r="BE62" i="1"/>
  <c r="C2" i="12" l="1"/>
  <c r="C3" i="12"/>
  <c r="C4" i="12"/>
  <c r="C5" i="12"/>
  <c r="C6" i="12"/>
  <c r="C7" i="12"/>
  <c r="C8" i="12" a="1"/>
  <c r="C8" i="12" s="1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BE55" i="1"/>
  <c r="G55" i="1"/>
  <c r="BE35" i="1" l="1"/>
  <c r="G35" i="1"/>
  <c r="C28" i="12" l="1"/>
  <c r="C29" i="12"/>
  <c r="C30" i="12"/>
  <c r="C31" i="12"/>
  <c r="C32" i="12"/>
  <c r="C33" i="12"/>
  <c r="C34" i="12"/>
  <c r="C35" i="12"/>
  <c r="BE49" i="1" l="1"/>
  <c r="G49" i="1"/>
  <c r="G39" i="1" l="1"/>
  <c r="G57" i="1"/>
  <c r="G61" i="1"/>
  <c r="G7" i="1"/>
  <c r="G60" i="1"/>
  <c r="G59" i="1"/>
  <c r="G58" i="1"/>
  <c r="G56" i="1"/>
  <c r="G47" i="1"/>
  <c r="G38" i="1"/>
  <c r="G53" i="1"/>
  <c r="G50" i="1"/>
  <c r="G52" i="1"/>
  <c r="G40" i="1"/>
  <c r="G51" i="1"/>
  <c r="G46" i="1"/>
  <c r="G34" i="1"/>
  <c r="G45" i="1"/>
  <c r="G54" i="1"/>
  <c r="G42" i="1"/>
  <c r="G41" i="1"/>
  <c r="G43" i="1"/>
  <c r="G11" i="1"/>
  <c r="G33" i="1"/>
  <c r="G30" i="1"/>
  <c r="G32" i="1"/>
  <c r="G44" i="1"/>
  <c r="G37" i="1"/>
  <c r="G31" i="1"/>
  <c r="G29" i="1"/>
  <c r="G36" i="1"/>
  <c r="G27" i="1"/>
  <c r="G24" i="1"/>
  <c r="G25" i="1"/>
  <c r="G28" i="1"/>
  <c r="G18" i="1"/>
  <c r="G20" i="1"/>
  <c r="G19" i="1"/>
  <c r="G22" i="1"/>
  <c r="G23" i="1"/>
  <c r="G21" i="1"/>
  <c r="G16" i="1"/>
  <c r="G15" i="1"/>
  <c r="G9" i="1"/>
  <c r="G14" i="1"/>
  <c r="G13" i="1"/>
  <c r="G26" i="1"/>
  <c r="G17" i="1"/>
  <c r="G12" i="1"/>
  <c r="G4" i="1"/>
  <c r="G8" i="1"/>
  <c r="G3" i="1"/>
  <c r="G5" i="1"/>
  <c r="G6" i="1"/>
  <c r="G10" i="1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BE30" i="1" l="1"/>
  <c r="BE39" i="1" l="1"/>
  <c r="BE56" i="1"/>
  <c r="BE37" i="1"/>
  <c r="BE28" i="1" l="1"/>
  <c r="BE27" i="1"/>
  <c r="BE14" i="1" l="1"/>
  <c r="BE60" i="1" l="1"/>
  <c r="BE17" i="1"/>
  <c r="BE59" i="1"/>
  <c r="BE10" i="1"/>
  <c r="BE58" i="1"/>
  <c r="BE7" i="1"/>
  <c r="BE26" i="1"/>
  <c r="BE15" i="1"/>
  <c r="BE24" i="1"/>
  <c r="BE29" i="1"/>
  <c r="BE32" i="1"/>
  <c r="BE25" i="1"/>
  <c r="BE33" i="1"/>
  <c r="BE4" i="1"/>
  <c r="BE18" i="1"/>
  <c r="BE8" i="1"/>
  <c r="BE20" i="1"/>
  <c r="BE22" i="1"/>
  <c r="BE42" i="1"/>
  <c r="BE3" i="1"/>
  <c r="BE21" i="1"/>
  <c r="BE16" i="1"/>
  <c r="BE45" i="1"/>
  <c r="BE11" i="1"/>
  <c r="BE19" i="1"/>
  <c r="BE44" i="1"/>
  <c r="BE53" i="1"/>
  <c r="BE38" i="1"/>
  <c r="BE47" i="1"/>
  <c r="BE40" i="1"/>
  <c r="BE51" i="1"/>
  <c r="BE46" i="1"/>
  <c r="BE52" i="1"/>
  <c r="BE54" i="1"/>
  <c r="BE34" i="1"/>
  <c r="BE13" i="1"/>
  <c r="BE23" i="1"/>
  <c r="BE36" i="1"/>
  <c r="BE12" i="1"/>
  <c r="BE6" i="1"/>
  <c r="BE50" i="1"/>
  <c r="BE41" i="1"/>
  <c r="BE43" i="1"/>
  <c r="BE31" i="1"/>
  <c r="BE5" i="1"/>
  <c r="BE9" i="1"/>
  <c r="BE61" i="1"/>
  <c r="AD5" i="12" l="1"/>
  <c r="AD3" i="12"/>
  <c r="AD2" i="12"/>
  <c r="AD14" i="12"/>
  <c r="AD25" i="12"/>
  <c r="AD31" i="12"/>
  <c r="AD7" i="12"/>
  <c r="AD32" i="12"/>
  <c r="AD16" i="12"/>
  <c r="AD33" i="12"/>
  <c r="AD15" i="12"/>
  <c r="AD18" i="12"/>
  <c r="AD17" i="12"/>
  <c r="AD23" i="12"/>
  <c r="AD29" i="12"/>
  <c r="AD11" i="12"/>
  <c r="AD35" i="12"/>
  <c r="AD6" i="12"/>
  <c r="AD9" i="12"/>
  <c r="AD8" i="12"/>
  <c r="AD13" i="12"/>
  <c r="AD24" i="12"/>
  <c r="AD21" i="12"/>
  <c r="AD27" i="12"/>
  <c r="AD26" i="12"/>
  <c r="AD19" i="12"/>
  <c r="AD30" i="12"/>
  <c r="AD12" i="12"/>
  <c r="AD34" i="12"/>
  <c r="AD4" i="12"/>
  <c r="AD22" i="12"/>
  <c r="AD10" i="12"/>
  <c r="AD28" i="12"/>
  <c r="AD20" i="12"/>
</calcChain>
</file>

<file path=xl/sharedStrings.xml><?xml version="1.0" encoding="utf-8"?>
<sst xmlns="http://schemas.openxmlformats.org/spreadsheetml/2006/main" count="1426" uniqueCount="341">
  <si>
    <t>Training</t>
  </si>
  <si>
    <t>Team Structure</t>
  </si>
  <si>
    <t>AIM Baselines</t>
  </si>
  <si>
    <t>Backlog Management</t>
  </si>
  <si>
    <t>Process / Tools Standardization</t>
  </si>
  <si>
    <t>Engineering Practices</t>
  </si>
  <si>
    <t>Customer Management</t>
  </si>
  <si>
    <t>Score Snapshots</t>
  </si>
  <si>
    <t>Rank</t>
  </si>
  <si>
    <t>Team Name</t>
  </si>
  <si>
    <t>Product</t>
  </si>
  <si>
    <t>Component</t>
  </si>
  <si>
    <t>Location</t>
  </si>
  <si>
    <t>Reviewed by ACT</t>
  </si>
  <si>
    <t xml:space="preserve">Current Score </t>
  </si>
  <si>
    <t>Average Score</t>
  </si>
  <si>
    <t>Badge</t>
  </si>
  <si>
    <t>AIM Workshop (Teams)</t>
  </si>
  <si>
    <t>AIM Workshop (PLT)</t>
  </si>
  <si>
    <t>Certification - Leadership</t>
  </si>
  <si>
    <t>Certification – PO</t>
  </si>
  <si>
    <t>Certification – SM</t>
  </si>
  <si>
    <t>Product Owner</t>
  </si>
  <si>
    <t>Scrum Master</t>
  </si>
  <si>
    <t>Multi function team</t>
  </si>
  <si>
    <t>Multi component team</t>
  </si>
  <si>
    <t>DoD</t>
  </si>
  <si>
    <t>DoR</t>
  </si>
  <si>
    <t>AIM ceremonies</t>
  </si>
  <si>
    <t>Scrum area</t>
  </si>
  <si>
    <t>Story Points</t>
  </si>
  <si>
    <t xml:space="preserve">Tasking </t>
  </si>
  <si>
    <t>Backlog grooming (sprint)</t>
  </si>
  <si>
    <t>Backlog grooming (release)</t>
  </si>
  <si>
    <t>Demo</t>
  </si>
  <si>
    <t>Retro</t>
  </si>
  <si>
    <t>Unified backlog</t>
  </si>
  <si>
    <t>Personas</t>
  </si>
  <si>
    <t>Story mapping</t>
  </si>
  <si>
    <t>User story template</t>
  </si>
  <si>
    <t>Tech story template</t>
  </si>
  <si>
    <t>Spikes template</t>
  </si>
  <si>
    <t>Tech debt strategy</t>
  </si>
  <si>
    <t>Defect management strategy</t>
  </si>
  <si>
    <t>AIM JIRA structure</t>
  </si>
  <si>
    <t>Release tracker</t>
  </si>
  <si>
    <t>Sprint burndown</t>
  </si>
  <si>
    <t>Time to Value Delivery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</si>
  <si>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</si>
  <si>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</si>
  <si>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</si>
  <si>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</si>
  <si>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</si>
  <si>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</si>
  <si>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</si>
  <si>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</si>
  <si>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Customer engagement</t>
  </si>
  <si>
    <t>AIM Coach</t>
  </si>
  <si>
    <t>SM</t>
  </si>
  <si>
    <t>PO</t>
  </si>
  <si>
    <t>Eng Manager</t>
  </si>
  <si>
    <t>PLM</t>
  </si>
  <si>
    <t>Eng Sponsor (Director)</t>
  </si>
  <si>
    <t>Start Date</t>
  </si>
  <si>
    <t>AIM Age 
(month)</t>
  </si>
  <si>
    <t>2019 Nov</t>
  </si>
  <si>
    <t>2019 Dec</t>
  </si>
  <si>
    <t>2020 Jan</t>
  </si>
  <si>
    <t>Progress</t>
  </si>
  <si>
    <t>Avengers</t>
  </si>
  <si>
    <t>IX Workplace Client</t>
  </si>
  <si>
    <t>Clients &amp; CSDK</t>
  </si>
  <si>
    <t>India</t>
  </si>
  <si>
    <t>Done</t>
  </si>
  <si>
    <t>Yes</t>
  </si>
  <si>
    <t>No</t>
  </si>
  <si>
    <t>Vijay Bholwani</t>
  </si>
  <si>
    <t>Snehal Kerhalkar</t>
  </si>
  <si>
    <t>Chaitanya &amp; Sameer</t>
  </si>
  <si>
    <t>Medha Mahabaleshwar</t>
  </si>
  <si>
    <t>Paul Relf</t>
  </si>
  <si>
    <t>Ruby Agarwal</t>
  </si>
  <si>
    <t>Strikers</t>
  </si>
  <si>
    <t>WeView</t>
  </si>
  <si>
    <t>IX Meetings</t>
  </si>
  <si>
    <t>Management</t>
  </si>
  <si>
    <t>Israel</t>
  </si>
  <si>
    <t>Partially</t>
  </si>
  <si>
    <t>Erez Morabia</t>
  </si>
  <si>
    <t>Yafit Levi</t>
  </si>
  <si>
    <t>Gilad Levi</t>
  </si>
  <si>
    <t>Kirk Jones</t>
  </si>
  <si>
    <t>Danny Levi</t>
  </si>
  <si>
    <t>ACM</t>
  </si>
  <si>
    <t>Avinash Shendage</t>
  </si>
  <si>
    <t>Joyce F</t>
  </si>
  <si>
    <t>Sanjog Kotnis</t>
  </si>
  <si>
    <t>Grasshopper</t>
  </si>
  <si>
    <t>IX-CC</t>
  </si>
  <si>
    <t>Automated Services</t>
  </si>
  <si>
    <t>Russia</t>
  </si>
  <si>
    <t>Shane Gannon/Sue Keegan</t>
  </si>
  <si>
    <t>Alex Voron</t>
  </si>
  <si>
    <t>Diego Vivo</t>
  </si>
  <si>
    <t>Paul D'Arcy</t>
  </si>
  <si>
    <t>Diego Klajner</t>
  </si>
  <si>
    <t>V8</t>
  </si>
  <si>
    <t>CSDK, Windows Client App</t>
  </si>
  <si>
    <t>United States</t>
  </si>
  <si>
    <t>Eric Fleischmann</t>
  </si>
  <si>
    <t>Phu-Cuong Huu (Charles) Nguyen</t>
  </si>
  <si>
    <t>Jeff Middleton</t>
  </si>
  <si>
    <t>Marc Saunders</t>
  </si>
  <si>
    <t>Puffin</t>
  </si>
  <si>
    <t>IX OneSpace</t>
  </si>
  <si>
    <t>-</t>
  </si>
  <si>
    <t>Dikla Klein</t>
  </si>
  <si>
    <t>Tamar Goldschmidt</t>
  </si>
  <si>
    <t>Orly Shechtman</t>
  </si>
  <si>
    <t>Customer Journey</t>
  </si>
  <si>
    <t>Galway</t>
  </si>
  <si>
    <t>In Progress</t>
  </si>
  <si>
    <t>Niall Fallon</t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</si>
  <si>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</si>
  <si>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t>Daniel O'Beirne</t>
  </si>
  <si>
    <t>Anjali Bagora</t>
  </si>
  <si>
    <t>Pole Dancers</t>
  </si>
  <si>
    <t>ACI</t>
  </si>
  <si>
    <t>ACI Core, Cloud Services, Machine Learning</t>
  </si>
  <si>
    <t>Poland</t>
  </si>
  <si>
    <t>Lukasz Wojciak</t>
  </si>
  <si>
    <t>Michael Salen</t>
  </si>
  <si>
    <t>Ernie Wong</t>
  </si>
  <si>
    <t>Jeff Hodson</t>
  </si>
  <si>
    <t>DES</t>
  </si>
  <si>
    <t>Surabhi Misra</t>
  </si>
  <si>
    <t>Bob Fizzard</t>
  </si>
  <si>
    <t>Birendra Sinha</t>
  </si>
  <si>
    <t>Sherlocks</t>
  </si>
  <si>
    <t>NGM</t>
  </si>
  <si>
    <t>Manoj Chaudhari</t>
  </si>
  <si>
    <t>Wayne Bevan</t>
  </si>
  <si>
    <t>Pancakes</t>
  </si>
  <si>
    <t>Survey Assist</t>
  </si>
  <si>
    <t>Argentina</t>
  </si>
  <si>
    <t>Matias Monguillot/Erez Morabia</t>
  </si>
  <si>
    <t>Matias Monguillot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</si>
  <si>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</si>
  <si>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</si>
  <si>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Susana Martins</t>
  </si>
  <si>
    <t>Kraken</t>
  </si>
  <si>
    <t>J SERIES</t>
  </si>
  <si>
    <t>RingCentral ACO/RCO features</t>
  </si>
  <si>
    <t>Canada</t>
  </si>
  <si>
    <t xml:space="preserve">Shahid Mahmood	</t>
  </si>
  <si>
    <t>Brian Pick, Paul Haig</t>
  </si>
  <si>
    <t>James Erskine</t>
  </si>
  <si>
    <t>Jarek Kovak</t>
  </si>
  <si>
    <t>Rangers</t>
  </si>
  <si>
    <t>SWC/JSCSDK</t>
  </si>
  <si>
    <t>Matias Maccaglia</t>
  </si>
  <si>
    <t>Mariano Bonatti</t>
  </si>
  <si>
    <t>Mauricio Silclir</t>
  </si>
  <si>
    <t>GameofScrums</t>
  </si>
  <si>
    <t>IX Reporting/Analytics</t>
  </si>
  <si>
    <t>Trupti Kondavale</t>
  </si>
  <si>
    <t>Chris Dunbar</t>
  </si>
  <si>
    <t>Yash Singh</t>
  </si>
  <si>
    <t>Vikings</t>
  </si>
  <si>
    <t>IX Workplace for Skype for Business</t>
  </si>
  <si>
    <t>Microsoft Integration</t>
  </si>
  <si>
    <t>Diego Cohen</t>
  </si>
  <si>
    <t>Leonardo Marzo</t>
  </si>
  <si>
    <t>Gunjan Kak</t>
  </si>
  <si>
    <t xml:space="preserve">Barry O'Connor </t>
  </si>
  <si>
    <t>Matthew Peters</t>
  </si>
  <si>
    <t>Condor</t>
  </si>
  <si>
    <t>Equinox Client</t>
  </si>
  <si>
    <t>Luciano Marzo</t>
  </si>
  <si>
    <t>Mariano Zibecchi and Mariano Bonatti</t>
  </si>
  <si>
    <t>Mendieta</t>
  </si>
  <si>
    <t>CSDK Component &amp; Android client app (all for Vantage)</t>
  </si>
  <si>
    <t>Diego Dedacek</t>
  </si>
  <si>
    <t>JaguarScript</t>
  </si>
  <si>
    <t>JSCSDK</t>
  </si>
  <si>
    <t>POM</t>
  </si>
  <si>
    <t>Umesh Mahajan</t>
  </si>
  <si>
    <t>Michael Gruen</t>
  </si>
  <si>
    <t>Sphinx</t>
  </si>
  <si>
    <t>BLA for RingCentral</t>
  </si>
  <si>
    <t xml:space="preserve">Elena Novikova </t>
  </si>
  <si>
    <t>Cathy Liao, Elena Novikova, Oleg Guschin</t>
  </si>
  <si>
    <t>Hippogriff</t>
  </si>
  <si>
    <t xml:space="preserve">BLF, Bluetooth, Audio Codecs </t>
  </si>
  <si>
    <t>Anastasiya Loginova</t>
  </si>
  <si>
    <t>Nina Yunusova, Paul Haig, Brian Pick</t>
  </si>
  <si>
    <t>Assisted Services</t>
  </si>
  <si>
    <t>Paul Kelly</t>
  </si>
  <si>
    <t>Paul Kelly &amp; Mike Walsh</t>
  </si>
  <si>
    <t>Analytics 4.0</t>
  </si>
  <si>
    <t>Oceana</t>
  </si>
  <si>
    <t>Dejan Savic</t>
  </si>
  <si>
    <t>David Mulry</t>
  </si>
  <si>
    <t>Eugene Garvin</t>
  </si>
  <si>
    <t>Analytics 3.x</t>
  </si>
  <si>
    <t>Dragon</t>
  </si>
  <si>
    <t>Avaya Cloud Offer (4.0.5.0)</t>
  </si>
  <si>
    <t xml:space="preserve">Mikhail Tagirov </t>
  </si>
  <si>
    <t>Phoenix</t>
  </si>
  <si>
    <t xml:space="preserve">Mercury phones </t>
  </si>
  <si>
    <t>Andrey Khudenkikh</t>
  </si>
  <si>
    <t>Usage Metering</t>
  </si>
  <si>
    <t>Zvika Oskar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</si>
  <si>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</si>
  <si>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Eyal Serero</t>
  </si>
  <si>
    <t>Becky Richardson</t>
  </si>
  <si>
    <t>Unicorn</t>
  </si>
  <si>
    <t xml:space="preserve">J189 / J189 UI components </t>
  </si>
  <si>
    <t xml:space="preserve">Svetlana Podogova	</t>
  </si>
  <si>
    <t>Stephane Lefebvre</t>
  </si>
  <si>
    <t>Wyvern</t>
  </si>
  <si>
    <t>LDAP, IPv6</t>
  </si>
  <si>
    <t>Alex Lyubimov</t>
  </si>
  <si>
    <t>Ahaṁ Brahmāsmi</t>
  </si>
  <si>
    <t>Flex/CSP Pune</t>
  </si>
  <si>
    <t>Barkha Shukla</t>
  </si>
  <si>
    <t>Shankar Makjija</t>
  </si>
  <si>
    <t>Birendra Sinha &amp; Anjali Doiphode</t>
  </si>
  <si>
    <t>Mike Killeen</t>
  </si>
  <si>
    <t>Conf EPs Sweden</t>
  </si>
  <si>
    <t>Conf EPs</t>
  </si>
  <si>
    <t>Sweden</t>
  </si>
  <si>
    <t>Shane Gannon/Erez Morabia</t>
  </si>
  <si>
    <t>Magnus Häggström</t>
  </si>
  <si>
    <t>Jonas Aronsson</t>
  </si>
  <si>
    <t>Peter Fredriksson</t>
  </si>
  <si>
    <t>Torbjörn Karlsson</t>
  </si>
  <si>
    <t>Bahubali</t>
  </si>
  <si>
    <t>AWFOS</t>
  </si>
  <si>
    <t>Guru Ayondhyanath</t>
  </si>
  <si>
    <t>William Jolicoeur</t>
  </si>
  <si>
    <t>Pat Lawless</t>
  </si>
  <si>
    <t>Assisted 3.x</t>
  </si>
  <si>
    <t>Shane O'Neil</t>
  </si>
  <si>
    <t>Black Pearl</t>
  </si>
  <si>
    <t>RTCP XR for Ring Central, Web UI</t>
  </si>
  <si>
    <t>Gyanesh Soni</t>
  </si>
  <si>
    <t>Debakanta Jena</t>
  </si>
  <si>
    <t>Anand Padhye</t>
  </si>
  <si>
    <t>Comrades</t>
  </si>
  <si>
    <t>Dmitry Noskov</t>
  </si>
  <si>
    <t>PLATFORMS</t>
  </si>
  <si>
    <t>Jeff R</t>
  </si>
  <si>
    <t>Richard W</t>
  </si>
  <si>
    <t>Hakuna Matata</t>
  </si>
  <si>
    <t>Vantage</t>
  </si>
  <si>
    <t>Services</t>
  </si>
  <si>
    <t>Victoria Lutsenko</t>
  </si>
  <si>
    <t>Ronen Bar-Yoav</t>
  </si>
  <si>
    <t>Yuval Cohen</t>
  </si>
  <si>
    <t>Vandana Brar</t>
  </si>
  <si>
    <t>GME</t>
  </si>
  <si>
    <t>David Dworkin</t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</si>
  <si>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</si>
  <si>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David Bundy</t>
  </si>
  <si>
    <t>Warriors</t>
  </si>
  <si>
    <t>Platform</t>
  </si>
  <si>
    <t>Alex Krichevsky</t>
  </si>
  <si>
    <t>AADS</t>
  </si>
  <si>
    <t>Nidhi Dhawan</t>
  </si>
  <si>
    <t>Kirk J</t>
  </si>
  <si>
    <t>Brian Hills</t>
  </si>
  <si>
    <t>ASBCE</t>
  </si>
  <si>
    <t>Suresh Sukumar</t>
  </si>
  <si>
    <t>Chandra Manchenella</t>
  </si>
  <si>
    <t>Erik Essmaker</t>
  </si>
  <si>
    <t>Jerome Joanny</t>
  </si>
  <si>
    <t>Praveen Reddyreddy</t>
  </si>
  <si>
    <t>SMGR</t>
  </si>
  <si>
    <t>Subin</t>
  </si>
  <si>
    <t>Jerome J</t>
  </si>
  <si>
    <t>Praveen</t>
  </si>
  <si>
    <t>Alpacas</t>
  </si>
  <si>
    <t>Callback Assist</t>
  </si>
  <si>
    <t>Semen Fedorov</t>
  </si>
  <si>
    <t>Pablo Rios</t>
  </si>
  <si>
    <t>Flex/CSP-Bangalore</t>
  </si>
  <si>
    <t>Flex/CSP Bangalore</t>
  </si>
  <si>
    <t>Divya Mohan</t>
  </si>
  <si>
    <t>Dhanuj Dharmarajan &amp; Dinesh Udayakumar (Eventing)</t>
  </si>
  <si>
    <t>Girish Solapur &amp; Divya Mohan</t>
  </si>
  <si>
    <t>Lollipop</t>
  </si>
  <si>
    <t>Connect</t>
  </si>
  <si>
    <t>Alex Borodin</t>
  </si>
  <si>
    <t>Tair Sasson</t>
  </si>
  <si>
    <t>AES</t>
  </si>
  <si>
    <t>Aura</t>
  </si>
  <si>
    <t>Not Started</t>
  </si>
  <si>
    <t>Srivalli Keesara</t>
  </si>
  <si>
    <t>Arya</t>
  </si>
  <si>
    <t>Audio</t>
  </si>
  <si>
    <t>Sumita Divakaran</t>
  </si>
  <si>
    <t>CM</t>
  </si>
  <si>
    <t>Vantage Platform</t>
  </si>
  <si>
    <t>NA</t>
  </si>
  <si>
    <t>Context Store/Cust Mgt</t>
  </si>
  <si>
    <t>Oceana 3.x</t>
  </si>
  <si>
    <t>Context Store / Cust Mgt</t>
  </si>
  <si>
    <r>
      <t xml:space="preserve">Yanto Jones </t>
    </r>
    <r>
      <rPr>
        <b/>
        <sz val="12"/>
        <color theme="1"/>
        <rFont val="Calibri"/>
        <family val="2"/>
        <scheme val="minor"/>
      </rPr>
      <t>(P)</t>
    </r>
  </si>
  <si>
    <t>Yanto Jones</t>
  </si>
  <si>
    <t>Shane O'Neill</t>
  </si>
  <si>
    <t>Gravity</t>
  </si>
  <si>
    <t>Sameer Sohanee</t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</si>
  <si>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</si>
  <si>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t>Kieran Horan</t>
  </si>
  <si>
    <t>Desktop Connector</t>
  </si>
  <si>
    <t>Workspaces UWF</t>
  </si>
  <si>
    <t>Irene Blewitt</t>
  </si>
  <si>
    <t>Donal Tarpey</t>
  </si>
  <si>
    <t>Pete Flannery</t>
  </si>
  <si>
    <t>Digitalcustomchannel</t>
  </si>
  <si>
    <t>Digital &amp; Messaging</t>
  </si>
  <si>
    <t>Arjun Rawat</t>
  </si>
  <si>
    <t>Anjum Siddique</t>
  </si>
  <si>
    <t>Abhi Kasturi</t>
  </si>
  <si>
    <t>Flex/CSP-Thornton</t>
  </si>
  <si>
    <t>Flex/CSP Thornton</t>
  </si>
  <si>
    <t>Judson Smith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</si>
  <si>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</si>
  <si>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t>Superhero</t>
  </si>
  <si>
    <t>Hero</t>
  </si>
  <si>
    <t>AIM Area</t>
  </si>
  <si>
    <t>Aim Category</t>
  </si>
  <si>
    <t>CBA</t>
  </si>
  <si>
    <t>Equinox Management</t>
  </si>
  <si>
    <t>Oceana Core</t>
  </si>
  <si>
    <t>Skype for Business</t>
  </si>
  <si>
    <t>Category average</t>
  </si>
  <si>
    <t>Scrum</t>
  </si>
  <si>
    <t>Trained</t>
  </si>
  <si>
    <t>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</si>
</sst>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B1mmm\-yy"/>
  </numFmts>
  <fonts count="5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AA"/>
      <color rgb="FFFFAAAA"/>
      <color rgb="FFA9D08E"/>
      <color rgb="FFFFE182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Eric!$J$14:$AL$14</c:f>
            </c:multiLvlStrRef>
          </c:cat>
          <c:val>
            <c:numRef>
              <c:f>Eric!$J$15:$AL$15</c:f>
            </c:numRef>
          </c:val>
          <c:extLst>
            <c:ext xmlns:c16="http://schemas.microsoft.com/office/drawing/2014/chart" uri="{C3380CC4-5D6E-409C-BE32-E72D297353CC}">
              <c16:uniqueId val="{00000000-D27E-412C-B646-FCB9A6BE3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113192"/>
        <c:axId val="625108928"/>
      </c:barChart>
      <c:catAx>
        <c:axId val="625113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8928"/>
        <c:crosses val="autoZero"/>
        <c:auto val="0"/>
        <c:lblAlgn val="ctr"/>
        <c:lblOffset val="100"/>
        <c:tickLblSkip val="1"/>
        <c:noMultiLvlLbl val="0"/>
      </c:catAx>
      <c:valAx>
        <c:axId val="625108928"/>
        <c:scaling>
          <c:orientation val="minMax"/>
          <c:max val="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13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923925</xdr:colOff>
      <xdr:row>15</xdr:row>
      <xdr:rowOff>120650</xdr:rowOff>
    </xdr:from>
    <xdr:to>
      <xdr:col>7</xdr:col>
      <xdr:colOff>279400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E23CE-85EC-4A1E-B05D-130AA4B9D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J63"/>
  <sheetViews>
    <sheetView showGridLines="0" tabSelected="1" zoomScaleNormal="100" workbookViewId="0">
      <pane xSplit="8" ySplit="2" topLeftCell="I52" activePane="bottomRight" state="frozen"/>
      <selection pane="bottomRight" activeCell="G2" sqref="G2"/>
      <selection pane="bottomLeft" activeCell="A3" sqref="A3"/>
      <selection pane="topRight" activeCell="I1" sqref="I1"/>
    </sheetView>
  </sheetViews>
  <sheetFormatPr defaultColWidth="9.42578125" defaultRowHeight="15.75" outlineLevelCol="1"/>
  <cols>
    <col min="1" max="1" width="10.85546875" style="1" customWidth="1"/>
    <col min="2" max="2" width="27.5703125" style="1" customWidth="1"/>
    <col min="3" max="3" width="31.85546875" style="1" customWidth="1"/>
    <col min="4" max="4" width="25.7109375" style="1" customWidth="1"/>
    <col min="5" max="5" width="14.42578125" style="1" customWidth="1"/>
    <col min="6" max="6" width="13.42578125" style="1" customWidth="1"/>
    <col min="7" max="8" width="9.85546875" style="1" customWidth="1"/>
    <col min="9" max="9" width="11.5703125" style="1" bestFit="1" customWidth="1"/>
    <col min="10" max="10" width="20.140625" style="1" hidden="1" customWidth="1" outlineLevel="1"/>
    <col min="11" max="11" width="16.5703125" style="1" hidden="1" customWidth="1" outlineLevel="1"/>
    <col min="12" max="12" width="22.85546875" style="1" hidden="1" customWidth="1" outlineLevel="1"/>
    <col min="13" max="13" width="20" style="1" hidden="1" customWidth="1" outlineLevel="1"/>
    <col min="14" max="14" width="22.42578125" style="1" hidden="1" customWidth="1" outlineLevel="1"/>
    <col min="15" max="15" width="18.42578125" style="1" customWidth="1" collapsed="1"/>
    <col min="16" max="16" width="17.42578125" style="1" customWidth="1"/>
    <col min="17" max="17" width="24.42578125" style="1" customWidth="1"/>
    <col min="18" max="18" width="28" style="1" customWidth="1"/>
    <col min="19" max="19" width="12.5703125" style="1" customWidth="1"/>
    <col min="20" max="20" width="13" style="1" customWidth="1"/>
    <col min="21" max="21" width="25.140625" style="1" customWidth="1"/>
    <col min="22" max="22" width="18.5703125" style="1" customWidth="1"/>
    <col min="23" max="23" width="15.42578125" style="1" customWidth="1"/>
    <col min="24" max="24" width="10.42578125" style="1" customWidth="1"/>
    <col min="25" max="25" width="31" style="1" customWidth="1"/>
    <col min="26" max="26" width="32.42578125" style="1" customWidth="1"/>
    <col min="27" max="27" width="14.5703125" style="1" customWidth="1"/>
    <col min="28" max="28" width="15.5703125" style="1" customWidth="1"/>
    <col min="29" max="29" width="23.5703125" style="1" customWidth="1"/>
    <col min="30" max="30" width="12.85546875" style="1" customWidth="1"/>
    <col min="31" max="31" width="17.42578125" style="1" customWidth="1"/>
    <col min="32" max="32" width="24.42578125" style="1" customWidth="1"/>
    <col min="33" max="33" width="28.42578125" style="1" customWidth="1"/>
    <col min="34" max="34" width="22.42578125" style="1" customWidth="1"/>
    <col min="35" max="35" width="24.42578125" style="1" customWidth="1"/>
    <col min="36" max="36" width="35.42578125" style="1" customWidth="1"/>
    <col min="37" max="37" width="25.5703125" style="1" customWidth="1"/>
    <col min="38" max="38" width="24.42578125" style="1" customWidth="1"/>
    <col min="39" max="40" width="20.42578125" style="1" customWidth="1"/>
    <col min="41" max="41" width="6.42578125" style="1" customWidth="1"/>
    <col min="42" max="42" width="9.5703125" style="1" customWidth="1"/>
    <col min="43" max="43" width="20.42578125" style="1" customWidth="1"/>
    <col min="44" max="44" width="7.42578125" style="1" customWidth="1"/>
    <col min="45" max="45" width="22.42578125" style="1" customWidth="1"/>
    <col min="46" max="46" width="27" style="1" customWidth="1"/>
    <col min="47" max="47" width="17" style="1" customWidth="1"/>
    <col min="48" max="48" width="19.42578125" style="1" customWidth="1"/>
    <col min="49" max="49" width="28.42578125" style="1" customWidth="1"/>
    <col min="50" max="50" width="30.42578125" style="1" bestFit="1" customWidth="1"/>
    <col min="51" max="51" width="31" style="1" bestFit="1" customWidth="1"/>
    <col min="52" max="52" width="37.5703125" style="1" customWidth="1"/>
    <col min="53" max="53" width="31" style="1" customWidth="1"/>
    <col min="54" max="54" width="24.42578125" style="1" bestFit="1" customWidth="1"/>
    <col min="55" max="55" width="20.42578125" style="1" bestFit="1" customWidth="1"/>
    <col min="56" max="56" width="14.42578125" style="1" bestFit="1" customWidth="1"/>
    <col min="57" max="57" width="13.42578125" style="1" bestFit="1" customWidth="1"/>
    <col min="58" max="58" width="11.42578125" style="1" customWidth="1"/>
    <col min="59" max="59" width="9.7109375" style="1" bestFit="1" customWidth="1"/>
    <col min="60" max="60" width="9.28515625" style="1" bestFit="1" customWidth="1"/>
    <col min="61" max="16384" width="9.42578125" style="1"/>
  </cols>
  <sheetData>
    <row r="1" spans="1:62" s="24" customFormat="1">
      <c r="B1" s="20"/>
      <c r="C1" s="21"/>
      <c r="D1" s="21"/>
      <c r="E1" s="21"/>
      <c r="F1" s="21"/>
      <c r="G1" s="21"/>
      <c r="H1" s="21"/>
      <c r="I1" s="22"/>
      <c r="J1" s="36" t="s">
        <v>0</v>
      </c>
      <c r="K1" s="36"/>
      <c r="L1" s="36"/>
      <c r="M1" s="36"/>
      <c r="N1" s="36"/>
      <c r="O1" s="37" t="s">
        <v>1</v>
      </c>
      <c r="P1" s="37"/>
      <c r="Q1" s="37"/>
      <c r="R1" s="37"/>
      <c r="S1" s="36" t="s">
        <v>2</v>
      </c>
      <c r="T1" s="36"/>
      <c r="U1" s="36"/>
      <c r="V1" s="36"/>
      <c r="W1" s="36"/>
      <c r="X1" s="36"/>
      <c r="Y1" s="36"/>
      <c r="Z1" s="36"/>
      <c r="AA1" s="36"/>
      <c r="AB1" s="36"/>
      <c r="AC1" s="37" t="s">
        <v>3</v>
      </c>
      <c r="AD1" s="37"/>
      <c r="AE1" s="37"/>
      <c r="AF1" s="37"/>
      <c r="AG1" s="37"/>
      <c r="AH1" s="37"/>
      <c r="AI1" s="37"/>
      <c r="AJ1" s="37"/>
      <c r="AK1" s="38" t="s">
        <v>4</v>
      </c>
      <c r="AL1" s="39"/>
      <c r="AM1" s="39"/>
      <c r="AN1" s="40"/>
      <c r="AO1" s="37" t="s">
        <v>5</v>
      </c>
      <c r="AP1" s="37"/>
      <c r="AQ1" s="37"/>
      <c r="AR1" s="37"/>
      <c r="AS1" s="37"/>
      <c r="AT1" s="37"/>
      <c r="AU1" s="37"/>
      <c r="AV1" s="37"/>
      <c r="AW1" s="30" t="s">
        <v>6</v>
      </c>
      <c r="AX1" s="23"/>
      <c r="AY1" s="23"/>
      <c r="AZ1" s="23"/>
      <c r="BA1" s="23"/>
      <c r="BB1" s="23"/>
      <c r="BC1" s="23"/>
      <c r="BD1" s="23"/>
      <c r="BE1" s="23"/>
      <c r="BF1" s="34" t="s">
        <v>7</v>
      </c>
      <c r="BG1" s="35"/>
      <c r="BH1" s="35"/>
    </row>
    <row r="2" spans="1:62" s="6" customFormat="1" ht="32.85" customHeight="1" thickBot="1">
      <c r="A2" s="8" t="s">
        <v>8</v>
      </c>
      <c r="B2" s="8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 t="s">
        <v>21</v>
      </c>
      <c r="O2" s="9" t="s">
        <v>22</v>
      </c>
      <c r="P2" s="9" t="s">
        <v>23</v>
      </c>
      <c r="Q2" s="9" t="s">
        <v>24</v>
      </c>
      <c r="R2" s="9" t="s">
        <v>25</v>
      </c>
      <c r="S2" s="9" t="s">
        <v>26</v>
      </c>
      <c r="T2" s="9" t="s">
        <v>27</v>
      </c>
      <c r="U2" s="9" t="s">
        <v>28</v>
      </c>
      <c r="V2" s="9" t="s">
        <v>29</v>
      </c>
      <c r="W2" s="9" t="s">
        <v>30</v>
      </c>
      <c r="X2" s="9" t="s">
        <v>31</v>
      </c>
      <c r="Y2" s="9" t="s">
        <v>32</v>
      </c>
      <c r="Z2" s="9" t="s">
        <v>33</v>
      </c>
      <c r="AA2" s="9" t="s">
        <v>34</v>
      </c>
      <c r="AB2" s="9" t="s">
        <v>35</v>
      </c>
      <c r="AC2" s="9" t="s">
        <v>36</v>
      </c>
      <c r="AD2" s="9" t="s">
        <v>37</v>
      </c>
      <c r="AE2" s="9" t="s">
        <v>38</v>
      </c>
      <c r="AF2" s="9" t="s">
        <v>39</v>
      </c>
      <c r="AG2" s="9" t="s">
        <v>40</v>
      </c>
      <c r="AH2" s="9" t="s">
        <v>41</v>
      </c>
      <c r="AI2" s="9" t="s">
        <v>42</v>
      </c>
      <c r="AJ2" s="9" t="s">
        <v>43</v>
      </c>
      <c r="AK2" s="9" t="s">
        <v>44</v>
      </c>
      <c r="AL2" s="9" t="s">
        <v>45</v>
      </c>
      <c r="AM2" s="9" t="s">
        <v>46</v>
      </c>
      <c r="AN2" s="9" t="s">
        <v>47</v>
      </c>
      <c r="AO2" s="9" t="s">
        <v>48</v>
      </c>
      <c r="AP2" s="9" t="s">
        <v>49</v>
      </c>
      <c r="AQ2" s="9" t="s">
        <v>50</v>
      </c>
      <c r="AR2" s="9" t="s">
        <v>51</v>
      </c>
      <c r="AS2" s="9" t="s">
        <v>52</v>
      </c>
      <c r="AT2" s="9" t="s">
        <v>53</v>
      </c>
      <c r="AU2" s="9" t="s">
        <v>54</v>
      </c>
      <c r="AV2" s="9" t="s">
        <v>55</v>
      </c>
      <c r="AW2" s="10" t="s">
        <v>56</v>
      </c>
      <c r="AX2" s="9" t="s">
        <v>57</v>
      </c>
      <c r="AY2" s="9" t="s">
        <v>58</v>
      </c>
      <c r="AZ2" s="9" t="s">
        <v>59</v>
      </c>
      <c r="BA2" s="9" t="s">
        <v>60</v>
      </c>
      <c r="BB2" s="9" t="s">
        <v>61</v>
      </c>
      <c r="BC2" s="9" t="s">
        <v>62</v>
      </c>
      <c r="BD2" s="9" t="s">
        <v>63</v>
      </c>
      <c r="BE2" s="9" t="s">
        <v>64</v>
      </c>
      <c r="BF2" s="9" t="s">
        <v>65</v>
      </c>
      <c r="BG2" s="9" t="s">
        <v>66</v>
      </c>
      <c r="BH2" s="27" t="s">
        <v>67</v>
      </c>
      <c r="BI2" s="27" t="s">
        <v>68</v>
      </c>
    </row>
    <row r="3" spans="1:62">
      <c r="A3" s="1">
        <f>ROW()-2</f>
        <v>1</v>
      </c>
      <c r="B3" s="2" t="s">
        <v>69</v>
      </c>
      <c r="C3" s="13" t="s">
        <v>70</v>
      </c>
      <c r="D3" s="13" t="s">
        <v>71</v>
      </c>
      <c r="E3" s="13" t="s">
        <v>72</v>
      </c>
      <c r="F3" s="7" t="s">
        <v>73</v>
      </c>
      <c r="G3" s="17">
        <f>IF(SUM(O3:AW3)&gt;0,SUM(O3:AW3)+100,0)</f>
        <v>168</v>
      </c>
      <c r="H3" s="14">
        <f>IFERROR(SUM(O3:AW3)/35, "")</f>
        <v>1.9428571428571428</v>
      </c>
      <c r="I3" s="13" t="str">
        <f>IF(H3&gt;=2.8,"Legendary",IF(H3&gt;=2,"Avenger",IF(H3&gt;=1,"Superhero","Hero")))</f>
        <v>Superhero</v>
      </c>
      <c r="J3" s="13" t="s">
        <v>74</v>
      </c>
      <c r="K3" s="13" t="s">
        <v>74</v>
      </c>
      <c r="L3" s="13" t="s">
        <v>75</v>
      </c>
      <c r="M3" s="13" t="s">
        <v>75</v>
      </c>
      <c r="N3" s="13" t="s">
        <v>74</v>
      </c>
      <c r="O3" s="13">
        <v>1</v>
      </c>
      <c r="P3" s="13">
        <v>1</v>
      </c>
      <c r="Q3" s="13">
        <v>3</v>
      </c>
      <c r="R3" s="13">
        <v>0</v>
      </c>
      <c r="S3" s="13">
        <v>3</v>
      </c>
      <c r="T3" s="13">
        <v>3</v>
      </c>
      <c r="U3" s="13">
        <v>3</v>
      </c>
      <c r="V3" s="13">
        <v>3</v>
      </c>
      <c r="W3" s="13">
        <v>3</v>
      </c>
      <c r="X3" s="13">
        <v>3</v>
      </c>
      <c r="Y3" s="13">
        <v>3</v>
      </c>
      <c r="Z3" s="13">
        <v>1</v>
      </c>
      <c r="AA3" s="13">
        <v>3</v>
      </c>
      <c r="AB3" s="13">
        <v>3</v>
      </c>
      <c r="AC3" s="13">
        <v>3</v>
      </c>
      <c r="AD3" s="13">
        <v>0</v>
      </c>
      <c r="AE3" s="13">
        <v>0</v>
      </c>
      <c r="AF3" s="13">
        <v>3</v>
      </c>
      <c r="AG3" s="13">
        <v>3</v>
      </c>
      <c r="AH3" s="13">
        <v>3</v>
      </c>
      <c r="AI3" s="13">
        <v>1</v>
      </c>
      <c r="AJ3" s="13">
        <v>3</v>
      </c>
      <c r="AK3" s="13">
        <v>3</v>
      </c>
      <c r="AL3" s="13">
        <v>3</v>
      </c>
      <c r="AM3" s="13">
        <v>2</v>
      </c>
      <c r="AN3" s="13">
        <v>1</v>
      </c>
      <c r="AO3" s="13">
        <v>0</v>
      </c>
      <c r="AP3" s="13">
        <v>0</v>
      </c>
      <c r="AQ3" s="13">
        <v>1</v>
      </c>
      <c r="AR3" s="13">
        <v>2</v>
      </c>
      <c r="AS3" s="13">
        <v>0</v>
      </c>
      <c r="AT3" s="13">
        <v>1</v>
      </c>
      <c r="AU3" s="13">
        <v>2</v>
      </c>
      <c r="AV3" s="13">
        <v>3</v>
      </c>
      <c r="AW3" s="13">
        <v>1</v>
      </c>
      <c r="AX3" s="13" t="s">
        <v>76</v>
      </c>
      <c r="AY3" s="13" t="s">
        <v>77</v>
      </c>
      <c r="AZ3" s="13" t="s">
        <v>78</v>
      </c>
      <c r="BA3" s="13" t="s">
        <v>79</v>
      </c>
      <c r="BB3" s="13" t="s">
        <v>80</v>
      </c>
      <c r="BC3" s="13" t="s">
        <v>81</v>
      </c>
      <c r="BD3" s="3">
        <v>43266</v>
      </c>
      <c r="BE3" s="14">
        <f ca="1">IF(ISBLANK($BD3),"",(TODAY()-$BD3)/30)</f>
        <v>21.033333333333335</v>
      </c>
      <c r="BF3" s="17">
        <v>145</v>
      </c>
      <c r="BG3" s="17">
        <v>168</v>
      </c>
      <c r="BH3" s="15">
        <v>168</v>
      </c>
      <c r="BI3" s="28">
        <f>BH3-BG3</f>
        <v>0</v>
      </c>
    </row>
    <row r="4" spans="1:62">
      <c r="A4" s="1">
        <f>ROW()-2</f>
        <v>2</v>
      </c>
      <c r="B4" s="4" t="s">
        <v>82</v>
      </c>
      <c r="C4" s="15" t="s">
        <v>70</v>
      </c>
      <c r="D4" s="13" t="s">
        <v>71</v>
      </c>
      <c r="E4" s="13" t="s">
        <v>72</v>
      </c>
      <c r="F4" s="7" t="s">
        <v>73</v>
      </c>
      <c r="G4" s="17">
        <f>IF(SUM(O4:AW4)&gt;0,SUM(O4:AW4)+100,0)</f>
        <v>168</v>
      </c>
      <c r="H4" s="14">
        <f>IFERROR(SUM(O4:AW4)/35, "")</f>
        <v>1.9428571428571428</v>
      </c>
      <c r="I4" s="13" t="str">
        <f>IF(H4&gt;=2.8,"Legendary",IF(H4&gt;=2,"Avenger",IF(H4&gt;=1,"Superhero","Hero")))</f>
        <v>Superhero</v>
      </c>
      <c r="J4" s="13" t="s">
        <v>74</v>
      </c>
      <c r="K4" s="13" t="s">
        <v>74</v>
      </c>
      <c r="L4" s="13" t="s">
        <v>75</v>
      </c>
      <c r="M4" s="13" t="s">
        <v>75</v>
      </c>
      <c r="N4" s="13" t="s">
        <v>74</v>
      </c>
      <c r="O4" s="15">
        <v>1</v>
      </c>
      <c r="P4" s="15">
        <v>1</v>
      </c>
      <c r="Q4" s="15">
        <v>3</v>
      </c>
      <c r="R4" s="15">
        <v>0</v>
      </c>
      <c r="S4" s="15">
        <v>3</v>
      </c>
      <c r="T4" s="15">
        <v>3</v>
      </c>
      <c r="U4" s="15">
        <v>3</v>
      </c>
      <c r="V4" s="15">
        <v>3</v>
      </c>
      <c r="W4" s="15">
        <v>3</v>
      </c>
      <c r="X4" s="15">
        <v>3</v>
      </c>
      <c r="Y4" s="15">
        <v>3</v>
      </c>
      <c r="Z4" s="15">
        <v>1</v>
      </c>
      <c r="AA4" s="15">
        <v>3</v>
      </c>
      <c r="AB4" s="15">
        <v>3</v>
      </c>
      <c r="AC4" s="15">
        <v>3</v>
      </c>
      <c r="AD4" s="15">
        <v>0</v>
      </c>
      <c r="AE4" s="15">
        <v>0</v>
      </c>
      <c r="AF4" s="15">
        <v>3</v>
      </c>
      <c r="AG4" s="15">
        <v>3</v>
      </c>
      <c r="AH4" s="15">
        <v>3</v>
      </c>
      <c r="AI4" s="15">
        <v>1</v>
      </c>
      <c r="AJ4" s="15">
        <v>3</v>
      </c>
      <c r="AK4" s="15">
        <v>3</v>
      </c>
      <c r="AL4" s="15">
        <v>3</v>
      </c>
      <c r="AM4" s="15">
        <v>2</v>
      </c>
      <c r="AN4" s="13">
        <v>1</v>
      </c>
      <c r="AO4" s="15">
        <v>0</v>
      </c>
      <c r="AP4" s="15">
        <v>0</v>
      </c>
      <c r="AQ4" s="15">
        <v>1</v>
      </c>
      <c r="AR4" s="15">
        <v>2</v>
      </c>
      <c r="AS4" s="15">
        <v>0</v>
      </c>
      <c r="AT4" s="15">
        <v>1</v>
      </c>
      <c r="AU4" s="15">
        <v>2</v>
      </c>
      <c r="AV4" s="15">
        <v>3</v>
      </c>
      <c r="AW4" s="15">
        <v>1</v>
      </c>
      <c r="AX4" s="13" t="s">
        <v>76</v>
      </c>
      <c r="AY4" s="15" t="s">
        <v>77</v>
      </c>
      <c r="AZ4" s="15" t="s">
        <v>78</v>
      </c>
      <c r="BA4" s="15" t="s">
        <v>79</v>
      </c>
      <c r="BB4" s="15" t="s">
        <v>80</v>
      </c>
      <c r="BC4" s="13" t="s">
        <v>81</v>
      </c>
      <c r="BD4" s="5">
        <v>43266</v>
      </c>
      <c r="BE4" s="14">
        <f ca="1">IF(ISBLANK($BD4),"",(TODAY()-$BD4)/30)</f>
        <v>21.033333333333335</v>
      </c>
      <c r="BF4" s="29">
        <v>143</v>
      </c>
      <c r="BG4" s="29">
        <v>168</v>
      </c>
      <c r="BH4" s="15">
        <v>168</v>
      </c>
      <c r="BI4" s="28">
        <f>BH4-BG4</f>
        <v>0</v>
      </c>
    </row>
    <row r="5" spans="1:62">
      <c r="A5" s="1">
        <f>ROW()-2</f>
        <v>3</v>
      </c>
      <c r="B5" s="4" t="s">
        <v>83</v>
      </c>
      <c r="C5" s="15" t="s">
        <v>84</v>
      </c>
      <c r="D5" s="13" t="s">
        <v>85</v>
      </c>
      <c r="E5" s="13" t="s">
        <v>86</v>
      </c>
      <c r="F5" s="7" t="s">
        <v>73</v>
      </c>
      <c r="G5" s="17">
        <f>IF(SUM(O5:AW5)&gt;0,SUM(O5:AW5)+100,0)</f>
        <v>162</v>
      </c>
      <c r="H5" s="14">
        <f>IFERROR(SUM(O5:AW5)/35, "")</f>
        <v>1.7714285714285714</v>
      </c>
      <c r="I5" s="13" t="str">
        <f>IF(H5&gt;=2.8,"Legendary",IF(H5&gt;=2,"Avenger",IF(H5&gt;=1,"Superhero","Hero")))</f>
        <v>Superhero</v>
      </c>
      <c r="J5" s="13" t="s">
        <v>74</v>
      </c>
      <c r="K5" s="13" t="s">
        <v>87</v>
      </c>
      <c r="L5" s="13" t="s">
        <v>74</v>
      </c>
      <c r="M5" s="13" t="s">
        <v>75</v>
      </c>
      <c r="N5" s="13" t="s">
        <v>74</v>
      </c>
      <c r="O5" s="15">
        <v>3</v>
      </c>
      <c r="P5" s="15">
        <v>3</v>
      </c>
      <c r="Q5" s="15">
        <v>2</v>
      </c>
      <c r="R5" s="15">
        <v>1</v>
      </c>
      <c r="S5" s="15">
        <v>2</v>
      </c>
      <c r="T5" s="15">
        <v>2</v>
      </c>
      <c r="U5" s="15">
        <v>3</v>
      </c>
      <c r="V5" s="15">
        <v>3</v>
      </c>
      <c r="W5" s="15">
        <v>3</v>
      </c>
      <c r="X5" s="15">
        <v>2</v>
      </c>
      <c r="Y5" s="15">
        <v>3</v>
      </c>
      <c r="Z5" s="15">
        <v>1</v>
      </c>
      <c r="AA5" s="15">
        <v>3</v>
      </c>
      <c r="AB5" s="15">
        <v>3</v>
      </c>
      <c r="AC5" s="15">
        <v>3</v>
      </c>
      <c r="AD5" s="15">
        <v>3</v>
      </c>
      <c r="AE5" s="15">
        <v>1</v>
      </c>
      <c r="AF5" s="15">
        <v>1</v>
      </c>
      <c r="AG5" s="15">
        <v>1</v>
      </c>
      <c r="AH5" s="15">
        <v>1</v>
      </c>
      <c r="AI5" s="15">
        <v>0</v>
      </c>
      <c r="AJ5" s="15">
        <v>3</v>
      </c>
      <c r="AK5" s="15">
        <v>0</v>
      </c>
      <c r="AL5" s="15">
        <v>3</v>
      </c>
      <c r="AM5" s="15">
        <v>2</v>
      </c>
      <c r="AN5" s="13">
        <v>2</v>
      </c>
      <c r="AO5" s="15">
        <v>0</v>
      </c>
      <c r="AP5" s="15">
        <v>0</v>
      </c>
      <c r="AQ5" s="15">
        <v>0</v>
      </c>
      <c r="AR5" s="15">
        <v>0</v>
      </c>
      <c r="AS5" s="15">
        <v>3</v>
      </c>
      <c r="AT5" s="15">
        <v>2</v>
      </c>
      <c r="AU5" s="15">
        <v>1</v>
      </c>
      <c r="AV5" s="15">
        <v>2</v>
      </c>
      <c r="AW5" s="15">
        <v>0</v>
      </c>
      <c r="AX5" s="13" t="s">
        <v>88</v>
      </c>
      <c r="AY5" s="16" t="s">
        <v>89</v>
      </c>
      <c r="AZ5" s="25" t="s">
        <v>90</v>
      </c>
      <c r="BA5" s="25" t="s">
        <v>88</v>
      </c>
      <c r="BB5" s="25" t="s">
        <v>91</v>
      </c>
      <c r="BC5" s="15" t="s">
        <v>92</v>
      </c>
      <c r="BD5" s="5">
        <v>43374</v>
      </c>
      <c r="BE5" s="14">
        <f ca="1">IF(ISBLANK($BD5),"",(TODAY()-$BD5)/30)</f>
        <v>17.433333333333334</v>
      </c>
      <c r="BF5" s="29">
        <v>161</v>
      </c>
      <c r="BG5" s="29">
        <v>160</v>
      </c>
      <c r="BH5" s="15">
        <v>162</v>
      </c>
      <c r="BI5" s="28">
        <f>BH5-BG5</f>
        <v>2</v>
      </c>
    </row>
    <row r="6" spans="1:62">
      <c r="A6" s="1">
        <f>ROW()-2</f>
        <v>4</v>
      </c>
      <c r="B6" s="4" t="s">
        <v>93</v>
      </c>
      <c r="C6" s="15" t="s">
        <v>93</v>
      </c>
      <c r="D6" s="13"/>
      <c r="E6" s="13" t="s">
        <v>72</v>
      </c>
      <c r="F6" s="7" t="s">
        <v>73</v>
      </c>
      <c r="G6" s="17">
        <f>IF(SUM(O6:AW6)&gt;0,SUM(O6:AW6)+100,0)</f>
        <v>161</v>
      </c>
      <c r="H6" s="14">
        <f>IFERROR(SUM(O6:AW6)/35, "")</f>
        <v>1.7428571428571429</v>
      </c>
      <c r="I6" s="13" t="str">
        <f>IF(H6&gt;=2.8,"Legendary",IF(H6&gt;=2,"Avenger",IF(H6&gt;=1,"Superhero","Hero")))</f>
        <v>Superhero</v>
      </c>
      <c r="J6" s="13" t="s">
        <v>74</v>
      </c>
      <c r="K6" s="13" t="s">
        <v>74</v>
      </c>
      <c r="L6" s="13" t="s">
        <v>75</v>
      </c>
      <c r="M6" s="13" t="s">
        <v>74</v>
      </c>
      <c r="N6" s="13" t="s">
        <v>75</v>
      </c>
      <c r="O6" s="15">
        <v>2</v>
      </c>
      <c r="P6" s="15">
        <v>2</v>
      </c>
      <c r="Q6" s="15">
        <v>1</v>
      </c>
      <c r="R6" s="15">
        <v>0</v>
      </c>
      <c r="S6" s="15">
        <v>2</v>
      </c>
      <c r="T6" s="15">
        <v>3</v>
      </c>
      <c r="U6" s="15">
        <v>3</v>
      </c>
      <c r="V6" s="15">
        <v>3</v>
      </c>
      <c r="W6" s="15">
        <v>3</v>
      </c>
      <c r="X6" s="15">
        <v>3</v>
      </c>
      <c r="Y6" s="15">
        <v>1</v>
      </c>
      <c r="Z6" s="15">
        <v>1</v>
      </c>
      <c r="AA6" s="15">
        <v>3</v>
      </c>
      <c r="AB6" s="15">
        <v>3</v>
      </c>
      <c r="AC6" s="15">
        <v>3</v>
      </c>
      <c r="AD6" s="15">
        <v>1</v>
      </c>
      <c r="AE6" s="15">
        <v>1</v>
      </c>
      <c r="AF6" s="15">
        <v>3</v>
      </c>
      <c r="AG6" s="15">
        <v>3</v>
      </c>
      <c r="AH6" s="15">
        <v>3</v>
      </c>
      <c r="AI6" s="15">
        <v>1</v>
      </c>
      <c r="AJ6" s="15">
        <v>3</v>
      </c>
      <c r="AK6" s="15">
        <v>3</v>
      </c>
      <c r="AL6" s="15">
        <v>3</v>
      </c>
      <c r="AM6" s="15">
        <v>1</v>
      </c>
      <c r="AN6" s="13">
        <v>0</v>
      </c>
      <c r="AO6" s="15">
        <v>0</v>
      </c>
      <c r="AP6" s="15">
        <v>0</v>
      </c>
      <c r="AQ6" s="15">
        <v>1</v>
      </c>
      <c r="AR6" s="15">
        <v>1</v>
      </c>
      <c r="AS6" s="15">
        <v>1</v>
      </c>
      <c r="AT6" s="15">
        <v>1</v>
      </c>
      <c r="AU6" s="15">
        <v>1</v>
      </c>
      <c r="AV6" s="15">
        <v>0</v>
      </c>
      <c r="AW6" s="15">
        <v>1</v>
      </c>
      <c r="AX6" s="13" t="s">
        <v>76</v>
      </c>
      <c r="AY6" s="15" t="s">
        <v>94</v>
      </c>
      <c r="AZ6" s="15"/>
      <c r="BA6" s="15"/>
      <c r="BB6" s="15" t="s">
        <v>95</v>
      </c>
      <c r="BC6" s="15" t="s">
        <v>96</v>
      </c>
      <c r="BD6" s="5">
        <v>43466</v>
      </c>
      <c r="BE6" s="14">
        <f ca="1">IF(ISBLANK($BD6),"",(TODAY()-$BD6)/30)</f>
        <v>14.366666666666667</v>
      </c>
      <c r="BF6" s="29">
        <v>171</v>
      </c>
      <c r="BG6" s="29">
        <v>161</v>
      </c>
      <c r="BH6" s="15">
        <v>161</v>
      </c>
      <c r="BI6" s="28">
        <f>BH6-BG6</f>
        <v>0</v>
      </c>
    </row>
    <row r="7" spans="1:62">
      <c r="A7" s="1">
        <f>ROW()-2</f>
        <v>5</v>
      </c>
      <c r="B7" s="4" t="s">
        <v>97</v>
      </c>
      <c r="C7" s="15" t="s">
        <v>98</v>
      </c>
      <c r="D7" s="13" t="s">
        <v>99</v>
      </c>
      <c r="E7" s="13" t="s">
        <v>100</v>
      </c>
      <c r="F7" s="7" t="s">
        <v>73</v>
      </c>
      <c r="G7" s="17">
        <f>IF(SUM(O7:AW7)&gt;0,SUM(O7:AW7)+100,0)</f>
        <v>160</v>
      </c>
      <c r="H7" s="14">
        <f>IFERROR(SUM(O7:AW7)/35, "")</f>
        <v>1.7142857142857142</v>
      </c>
      <c r="I7" s="13" t="str">
        <f>IF(H7&gt;=2.8,"Legendary",IF(H7&gt;=2,"Avenger",IF(H7&gt;=1,"Superhero","Hero")))</f>
        <v>Superhero</v>
      </c>
      <c r="J7" s="13" t="s">
        <v>75</v>
      </c>
      <c r="K7" s="13" t="s">
        <v>87</v>
      </c>
      <c r="L7" s="13" t="s">
        <v>75</v>
      </c>
      <c r="M7" s="13" t="s">
        <v>75</v>
      </c>
      <c r="N7" s="13" t="s">
        <v>74</v>
      </c>
      <c r="O7" s="15">
        <v>2</v>
      </c>
      <c r="P7" s="15">
        <v>2</v>
      </c>
      <c r="Q7" s="15">
        <v>2</v>
      </c>
      <c r="R7" s="15">
        <v>1</v>
      </c>
      <c r="S7" s="15">
        <v>2</v>
      </c>
      <c r="T7" s="15">
        <v>2</v>
      </c>
      <c r="U7" s="15">
        <v>2</v>
      </c>
      <c r="V7" s="15">
        <v>3</v>
      </c>
      <c r="W7" s="15">
        <v>2</v>
      </c>
      <c r="X7" s="15">
        <v>3</v>
      </c>
      <c r="Y7" s="15">
        <v>1</v>
      </c>
      <c r="Z7" s="15">
        <v>0</v>
      </c>
      <c r="AA7" s="15">
        <v>3</v>
      </c>
      <c r="AB7" s="15">
        <v>2</v>
      </c>
      <c r="AC7" s="15">
        <v>2</v>
      </c>
      <c r="AD7" s="15">
        <v>1</v>
      </c>
      <c r="AE7" s="15">
        <v>0</v>
      </c>
      <c r="AF7" s="15">
        <v>1</v>
      </c>
      <c r="AG7" s="15">
        <v>2</v>
      </c>
      <c r="AH7" s="15">
        <v>2</v>
      </c>
      <c r="AI7" s="15">
        <v>0</v>
      </c>
      <c r="AJ7" s="15">
        <v>2</v>
      </c>
      <c r="AK7" s="15">
        <v>3</v>
      </c>
      <c r="AL7" s="15">
        <v>3</v>
      </c>
      <c r="AM7" s="15">
        <v>2</v>
      </c>
      <c r="AN7" s="13">
        <v>0</v>
      </c>
      <c r="AO7" s="15">
        <v>1</v>
      </c>
      <c r="AP7" s="15">
        <v>1</v>
      </c>
      <c r="AQ7" s="15">
        <v>3</v>
      </c>
      <c r="AR7" s="15">
        <v>2</v>
      </c>
      <c r="AS7" s="15">
        <v>1</v>
      </c>
      <c r="AT7" s="15">
        <v>3</v>
      </c>
      <c r="AU7" s="15">
        <v>1</v>
      </c>
      <c r="AV7" s="15">
        <v>2</v>
      </c>
      <c r="AW7" s="15">
        <v>1</v>
      </c>
      <c r="AX7" s="13" t="s">
        <v>101</v>
      </c>
      <c r="AY7" s="15" t="s">
        <v>102</v>
      </c>
      <c r="AZ7" s="15" t="s">
        <v>103</v>
      </c>
      <c r="BA7" s="15" t="s">
        <v>104</v>
      </c>
      <c r="BB7" s="15" t="s">
        <v>105</v>
      </c>
      <c r="BC7" s="15" t="s">
        <v>104</v>
      </c>
      <c r="BD7" s="5">
        <v>43481</v>
      </c>
      <c r="BE7" s="14">
        <f ca="1">IF(ISBLANK($BD7),"",(TODAY()-$BD7)/30)</f>
        <v>13.866666666666667</v>
      </c>
      <c r="BF7" s="29">
        <v>103</v>
      </c>
      <c r="BG7" s="29">
        <v>160</v>
      </c>
      <c r="BH7" s="15">
        <v>160</v>
      </c>
      <c r="BI7" s="28">
        <f>BH7-BG7</f>
        <v>0</v>
      </c>
    </row>
    <row r="8" spans="1:62">
      <c r="A8" s="1">
        <f>ROW()-2</f>
        <v>6</v>
      </c>
      <c r="B8" s="4" t="s">
        <v>106</v>
      </c>
      <c r="C8" s="15" t="s">
        <v>70</v>
      </c>
      <c r="D8" s="13" t="s">
        <v>107</v>
      </c>
      <c r="E8" s="13" t="s">
        <v>108</v>
      </c>
      <c r="F8" s="7" t="s">
        <v>73</v>
      </c>
      <c r="G8" s="17">
        <f>IF(SUM(O8:AW8)&gt;0,SUM(O8:AW8)+100,0)</f>
        <v>154</v>
      </c>
      <c r="H8" s="14">
        <f>IFERROR(SUM(O8:AW8)/35, "")</f>
        <v>1.5428571428571429</v>
      </c>
      <c r="I8" s="13" t="str">
        <f>IF(H8&gt;=2.8,"Legendary",IF(H8&gt;=2,"Avenger",IF(H8&gt;=1,"Superhero","Hero")))</f>
        <v>Superhero</v>
      </c>
      <c r="J8" s="13" t="s">
        <v>74</v>
      </c>
      <c r="K8" s="13" t="s">
        <v>75</v>
      </c>
      <c r="L8" s="13" t="s">
        <v>75</v>
      </c>
      <c r="M8" s="13" t="s">
        <v>75</v>
      </c>
      <c r="N8" s="13" t="s">
        <v>75</v>
      </c>
      <c r="O8" s="15">
        <v>1</v>
      </c>
      <c r="P8" s="15">
        <v>2</v>
      </c>
      <c r="Q8" s="15">
        <v>1</v>
      </c>
      <c r="R8" s="15">
        <v>1</v>
      </c>
      <c r="S8" s="15">
        <v>3</v>
      </c>
      <c r="T8" s="15">
        <v>2</v>
      </c>
      <c r="U8" s="15">
        <v>3</v>
      </c>
      <c r="V8" s="15">
        <v>3</v>
      </c>
      <c r="W8" s="15">
        <v>2</v>
      </c>
      <c r="X8" s="15">
        <v>3</v>
      </c>
      <c r="Y8" s="15">
        <v>2</v>
      </c>
      <c r="Z8" s="15">
        <v>1</v>
      </c>
      <c r="AA8" s="15">
        <v>3</v>
      </c>
      <c r="AB8" s="15">
        <v>3</v>
      </c>
      <c r="AC8" s="15">
        <v>1</v>
      </c>
      <c r="AD8" s="15">
        <v>1</v>
      </c>
      <c r="AE8" s="15">
        <v>1</v>
      </c>
      <c r="AF8" s="15">
        <v>1</v>
      </c>
      <c r="AG8" s="15">
        <v>1</v>
      </c>
      <c r="AH8" s="15">
        <v>1</v>
      </c>
      <c r="AI8" s="15">
        <v>2</v>
      </c>
      <c r="AJ8" s="15">
        <v>2</v>
      </c>
      <c r="AK8" s="15">
        <v>3</v>
      </c>
      <c r="AL8" s="15">
        <v>1</v>
      </c>
      <c r="AM8" s="15">
        <v>2</v>
      </c>
      <c r="AN8" s="13">
        <v>1</v>
      </c>
      <c r="AO8" s="15">
        <v>0</v>
      </c>
      <c r="AP8" s="15">
        <v>0</v>
      </c>
      <c r="AQ8" s="15">
        <v>2</v>
      </c>
      <c r="AR8" s="15">
        <v>1</v>
      </c>
      <c r="AS8" s="15">
        <v>2</v>
      </c>
      <c r="AT8" s="15">
        <v>1</v>
      </c>
      <c r="AU8" s="15">
        <v>0</v>
      </c>
      <c r="AV8" s="15">
        <v>1</v>
      </c>
      <c r="AW8" s="15">
        <v>0</v>
      </c>
      <c r="AX8" s="13" t="s">
        <v>109</v>
      </c>
      <c r="AY8" s="15" t="s">
        <v>110</v>
      </c>
      <c r="AZ8" s="15" t="s">
        <v>111</v>
      </c>
      <c r="BA8" s="15" t="s">
        <v>112</v>
      </c>
      <c r="BB8" s="15" t="s">
        <v>80</v>
      </c>
      <c r="BC8" s="15" t="s">
        <v>81</v>
      </c>
      <c r="BD8" s="5">
        <v>43266</v>
      </c>
      <c r="BE8" s="14">
        <f ca="1">IF(ISBLANK($BD8),"",(TODAY()-$BD8)/30)</f>
        <v>21.033333333333335</v>
      </c>
      <c r="BF8" s="29">
        <v>143</v>
      </c>
      <c r="BG8" s="29">
        <v>154</v>
      </c>
      <c r="BH8" s="15">
        <v>154</v>
      </c>
      <c r="BI8" s="28">
        <f>BH8-BG8</f>
        <v>0</v>
      </c>
    </row>
    <row r="9" spans="1:62">
      <c r="A9" s="1">
        <f>ROW()-2</f>
        <v>7</v>
      </c>
      <c r="B9" s="4" t="s">
        <v>113</v>
      </c>
      <c r="C9" s="15" t="s">
        <v>114</v>
      </c>
      <c r="D9" s="15" t="s">
        <v>115</v>
      </c>
      <c r="E9" s="15" t="s">
        <v>86</v>
      </c>
      <c r="F9" s="7" t="s">
        <v>73</v>
      </c>
      <c r="G9" s="17">
        <f>IF(SUM(O9:AW9)&gt;0,SUM(O9:AW9)+100,0)</f>
        <v>154</v>
      </c>
      <c r="H9" s="14">
        <f>IFERROR(SUM(O9:AW9)/35, "")</f>
        <v>1.5428571428571429</v>
      </c>
      <c r="I9" s="13" t="str">
        <f>IF(H9&gt;=2.8,"Legendary",IF(H9&gt;=2,"Avenger",IF(H9&gt;=1,"Superhero","Hero")))</f>
        <v>Superhero</v>
      </c>
      <c r="J9" s="13" t="s">
        <v>74</v>
      </c>
      <c r="K9" s="13" t="s">
        <v>74</v>
      </c>
      <c r="L9" s="13" t="s">
        <v>74</v>
      </c>
      <c r="M9" s="13" t="s">
        <v>75</v>
      </c>
      <c r="N9" s="13" t="s">
        <v>74</v>
      </c>
      <c r="O9" s="15">
        <v>2</v>
      </c>
      <c r="P9" s="15">
        <v>3</v>
      </c>
      <c r="Q9" s="15">
        <v>2</v>
      </c>
      <c r="R9" s="15">
        <v>3</v>
      </c>
      <c r="S9" s="15">
        <v>1</v>
      </c>
      <c r="T9" s="15">
        <v>1</v>
      </c>
      <c r="U9" s="15">
        <v>3</v>
      </c>
      <c r="V9" s="15">
        <v>3</v>
      </c>
      <c r="W9" s="15">
        <v>2</v>
      </c>
      <c r="X9" s="15">
        <v>2</v>
      </c>
      <c r="Y9" s="15">
        <v>1</v>
      </c>
      <c r="Z9" s="15">
        <v>0</v>
      </c>
      <c r="AA9" s="15">
        <v>2</v>
      </c>
      <c r="AB9" s="15">
        <v>3</v>
      </c>
      <c r="AC9" s="15">
        <v>3</v>
      </c>
      <c r="AD9" s="15">
        <v>1</v>
      </c>
      <c r="AE9" s="15">
        <v>1</v>
      </c>
      <c r="AF9" s="15">
        <v>1</v>
      </c>
      <c r="AG9" s="15">
        <v>1</v>
      </c>
      <c r="AH9" s="15">
        <v>1</v>
      </c>
      <c r="AI9" s="15">
        <v>0</v>
      </c>
      <c r="AJ9" s="15">
        <v>3</v>
      </c>
      <c r="AK9" s="15">
        <v>3</v>
      </c>
      <c r="AL9" s="15">
        <v>3</v>
      </c>
      <c r="AM9" s="15">
        <v>2</v>
      </c>
      <c r="AN9" s="13">
        <v>2</v>
      </c>
      <c r="AO9" s="15">
        <v>0</v>
      </c>
      <c r="AP9" s="15">
        <v>0</v>
      </c>
      <c r="AQ9" s="15">
        <v>0</v>
      </c>
      <c r="AR9" s="15">
        <v>0</v>
      </c>
      <c r="AS9" s="15">
        <v>1</v>
      </c>
      <c r="AT9" s="15">
        <v>1</v>
      </c>
      <c r="AU9" s="15">
        <v>0</v>
      </c>
      <c r="AV9" s="15">
        <v>2</v>
      </c>
      <c r="AW9" s="15">
        <v>1</v>
      </c>
      <c r="AX9" s="15" t="s">
        <v>88</v>
      </c>
      <c r="AY9" s="15" t="s">
        <v>116</v>
      </c>
      <c r="AZ9" s="15" t="s">
        <v>117</v>
      </c>
      <c r="BA9" s="15" t="s">
        <v>88</v>
      </c>
      <c r="BB9" s="15" t="s">
        <v>118</v>
      </c>
      <c r="BC9" s="15" t="s">
        <v>92</v>
      </c>
      <c r="BD9" s="5">
        <v>43556</v>
      </c>
      <c r="BE9" s="14">
        <f ca="1">IF(ISBLANK($BD9),"",(TODAY()-$BD9)/30)</f>
        <v>11.366666666666667</v>
      </c>
      <c r="BF9" s="29">
        <v>149</v>
      </c>
      <c r="BG9" s="29">
        <v>153</v>
      </c>
      <c r="BH9" s="15">
        <v>154</v>
      </c>
      <c r="BI9" s="28">
        <f>BH9-BG9</f>
        <v>1</v>
      </c>
    </row>
    <row r="10" spans="1:62">
      <c r="A10" s="1">
        <f>ROW()-2</f>
        <v>8</v>
      </c>
      <c r="B10" s="4" t="s">
        <v>119</v>
      </c>
      <c r="C10" s="15" t="s">
        <v>98</v>
      </c>
      <c r="D10" s="15" t="s">
        <v>119</v>
      </c>
      <c r="E10" s="15" t="s">
        <v>120</v>
      </c>
      <c r="F10" s="7" t="s">
        <v>121</v>
      </c>
      <c r="G10" s="17">
        <f>IF(SUM(O10:AW10)&gt;0,SUM(O10:AW10)+100,0)</f>
        <v>153</v>
      </c>
      <c r="H10" s="14">
        <f>IFERROR(SUM(O10:AW10)/35, "")</f>
        <v>1.5142857142857142</v>
      </c>
      <c r="I10" s="13" t="str">
        <f>IF(H10&gt;=2.8,"Legendary",IF(H10&gt;=2,"Avenger",IF(H10&gt;=1,"Superhero","Hero")))</f>
        <v>Superhero</v>
      </c>
      <c r="J10" s="13" t="s">
        <v>74</v>
      </c>
      <c r="K10" s="13" t="s">
        <v>74</v>
      </c>
      <c r="L10" s="13" t="s">
        <v>75</v>
      </c>
      <c r="M10" s="13" t="s">
        <v>75</v>
      </c>
      <c r="N10" s="13" t="s">
        <v>74</v>
      </c>
      <c r="O10" s="15">
        <v>1</v>
      </c>
      <c r="P10" s="15">
        <v>3</v>
      </c>
      <c r="Q10" s="15">
        <v>0</v>
      </c>
      <c r="R10" s="15">
        <v>0</v>
      </c>
      <c r="S10" s="15">
        <v>3</v>
      </c>
      <c r="T10" s="15">
        <v>3</v>
      </c>
      <c r="U10" s="15">
        <v>3</v>
      </c>
      <c r="V10" s="15">
        <v>3</v>
      </c>
      <c r="W10" s="15">
        <v>2</v>
      </c>
      <c r="X10" s="15">
        <v>2</v>
      </c>
      <c r="Y10" s="15">
        <v>1</v>
      </c>
      <c r="Z10" s="15">
        <v>0</v>
      </c>
      <c r="AA10" s="15">
        <v>2</v>
      </c>
      <c r="AB10" s="15">
        <v>3</v>
      </c>
      <c r="AC10" s="15">
        <v>2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2</v>
      </c>
      <c r="AJ10" s="15">
        <v>2</v>
      </c>
      <c r="AK10" s="15">
        <v>3</v>
      </c>
      <c r="AL10" s="15">
        <v>1</v>
      </c>
      <c r="AM10" s="15">
        <v>2</v>
      </c>
      <c r="AN10" s="13">
        <v>0</v>
      </c>
      <c r="AO10" s="15">
        <v>0</v>
      </c>
      <c r="AP10" s="15">
        <v>0</v>
      </c>
      <c r="AQ10" s="15">
        <v>3</v>
      </c>
      <c r="AR10" s="15">
        <v>2</v>
      </c>
      <c r="AS10" s="15">
        <v>0</v>
      </c>
      <c r="AT10" s="15">
        <v>3</v>
      </c>
      <c r="AU10" s="15">
        <v>3</v>
      </c>
      <c r="AV10" s="15">
        <v>2</v>
      </c>
      <c r="AW10" s="15">
        <v>2</v>
      </c>
      <c r="AX10" s="15" t="s">
        <v>101</v>
      </c>
      <c r="AY10" s="15" t="s">
        <v>122</v>
      </c>
      <c r="AZ10" s="15" t="s">
        <v>123</v>
      </c>
      <c r="BA10" s="15" t="s">
        <v>124</v>
      </c>
      <c r="BB10" s="15" t="s">
        <v>125</v>
      </c>
      <c r="BC10" s="15" t="s">
        <v>104</v>
      </c>
      <c r="BD10" s="5">
        <v>43481</v>
      </c>
      <c r="BE10" s="14">
        <f ca="1">IF(ISBLANK($BD10),"",(TODAY()-$BD10)/30)</f>
        <v>13.866666666666667</v>
      </c>
      <c r="BF10" s="17">
        <v>181</v>
      </c>
      <c r="BG10" s="17">
        <v>152</v>
      </c>
      <c r="BH10" s="15">
        <v>153</v>
      </c>
      <c r="BI10" s="28">
        <f>BH10-BG10</f>
        <v>1</v>
      </c>
    </row>
    <row r="11" spans="1:62">
      <c r="A11" s="1">
        <f>ROW()-2</f>
        <v>9</v>
      </c>
      <c r="B11" s="4" t="s">
        <v>126</v>
      </c>
      <c r="C11" s="15" t="s">
        <v>127</v>
      </c>
      <c r="D11" s="15" t="s">
        <v>128</v>
      </c>
      <c r="E11" s="15" t="s">
        <v>129</v>
      </c>
      <c r="F11" s="7" t="s">
        <v>73</v>
      </c>
      <c r="G11" s="17">
        <f>IF(SUM(O11:AW11)&gt;0,SUM(O11:AW11)+100,0)</f>
        <v>152</v>
      </c>
      <c r="H11" s="14">
        <f>IFERROR(SUM(O11:AW11)/35, "")</f>
        <v>1.4857142857142858</v>
      </c>
      <c r="I11" s="13" t="str">
        <f>IF(H11&gt;=2.8,"Legendary",IF(H11&gt;=2,"Avenger",IF(H11&gt;=1,"Superhero","Hero")))</f>
        <v>Superhero</v>
      </c>
      <c r="J11" s="13" t="s">
        <v>75</v>
      </c>
      <c r="K11" s="13" t="s">
        <v>75</v>
      </c>
      <c r="L11" s="13" t="s">
        <v>75</v>
      </c>
      <c r="M11" s="13" t="s">
        <v>74</v>
      </c>
      <c r="N11" s="13" t="s">
        <v>75</v>
      </c>
      <c r="O11" s="15">
        <v>1</v>
      </c>
      <c r="P11" s="15">
        <v>1</v>
      </c>
      <c r="Q11" s="15">
        <v>3</v>
      </c>
      <c r="R11" s="15">
        <v>1</v>
      </c>
      <c r="S11" s="15">
        <v>3</v>
      </c>
      <c r="T11" s="15">
        <v>2</v>
      </c>
      <c r="U11" s="15">
        <v>2</v>
      </c>
      <c r="V11" s="15">
        <v>3</v>
      </c>
      <c r="W11" s="15">
        <v>2</v>
      </c>
      <c r="X11" s="15">
        <v>3</v>
      </c>
      <c r="Y11" s="15">
        <v>2</v>
      </c>
      <c r="Z11" s="15">
        <v>1</v>
      </c>
      <c r="AA11" s="15">
        <v>2</v>
      </c>
      <c r="AB11" s="15">
        <v>2</v>
      </c>
      <c r="AC11" s="15">
        <v>2</v>
      </c>
      <c r="AD11" s="15">
        <v>1</v>
      </c>
      <c r="AE11" s="15">
        <v>1</v>
      </c>
      <c r="AF11" s="15">
        <v>1</v>
      </c>
      <c r="AG11" s="15">
        <v>1</v>
      </c>
      <c r="AH11" s="15">
        <v>0</v>
      </c>
      <c r="AI11" s="15">
        <v>1</v>
      </c>
      <c r="AJ11" s="15">
        <v>0</v>
      </c>
      <c r="AK11" s="15">
        <v>3</v>
      </c>
      <c r="AL11" s="15">
        <v>1</v>
      </c>
      <c r="AM11" s="15">
        <v>2</v>
      </c>
      <c r="AN11" s="13">
        <v>1</v>
      </c>
      <c r="AO11" s="15">
        <v>0</v>
      </c>
      <c r="AP11" s="15">
        <v>0</v>
      </c>
      <c r="AQ11" s="15">
        <v>2</v>
      </c>
      <c r="AR11" s="15">
        <v>2</v>
      </c>
      <c r="AS11" s="15">
        <v>1</v>
      </c>
      <c r="AT11" s="15">
        <v>2</v>
      </c>
      <c r="AU11" s="15">
        <v>1</v>
      </c>
      <c r="AV11" s="15">
        <v>0</v>
      </c>
      <c r="AW11" s="15">
        <v>2</v>
      </c>
      <c r="AX11" s="15" t="s">
        <v>109</v>
      </c>
      <c r="AY11" s="15" t="s">
        <v>130</v>
      </c>
      <c r="AZ11" s="15" t="s">
        <v>131</v>
      </c>
      <c r="BA11" s="15" t="s">
        <v>130</v>
      </c>
      <c r="BB11" s="15" t="s">
        <v>132</v>
      </c>
      <c r="BC11" s="15" t="s">
        <v>133</v>
      </c>
      <c r="BD11" s="5">
        <v>43626</v>
      </c>
      <c r="BE11" s="14">
        <f ca="1">IF(ISBLANK($BD11),"",(TODAY()-$BD11)/30)</f>
        <v>9.0333333333333332</v>
      </c>
      <c r="BF11" s="29">
        <v>131</v>
      </c>
      <c r="BG11" s="29">
        <v>152</v>
      </c>
      <c r="BH11" s="15">
        <v>152</v>
      </c>
      <c r="BI11" s="28">
        <f>BH11-BG11</f>
        <v>0</v>
      </c>
    </row>
    <row r="12" spans="1:62">
      <c r="A12" s="1">
        <f>ROW()-2</f>
        <v>10</v>
      </c>
      <c r="B12" s="4" t="s">
        <v>134</v>
      </c>
      <c r="C12" s="15" t="s">
        <v>134</v>
      </c>
      <c r="D12" s="15"/>
      <c r="E12" s="15" t="s">
        <v>72</v>
      </c>
      <c r="F12" s="7" t="s">
        <v>73</v>
      </c>
      <c r="G12" s="17">
        <f>IF(SUM(O12:AW12)&gt;0,SUM(O12:AW12)+100,0)</f>
        <v>151</v>
      </c>
      <c r="H12" s="14">
        <f>IFERROR(SUM(O12:AW12)/35, "")</f>
        <v>1.4571428571428571</v>
      </c>
      <c r="I12" s="13" t="str">
        <f>IF(H12&gt;=2.8,"Legendary",IF(H12&gt;=2,"Avenger",IF(H12&gt;=1,"Superhero","Hero")))</f>
        <v>Superhero</v>
      </c>
      <c r="J12" s="13" t="s">
        <v>74</v>
      </c>
      <c r="K12" s="13" t="s">
        <v>74</v>
      </c>
      <c r="L12" s="13" t="s">
        <v>75</v>
      </c>
      <c r="M12" s="13" t="s">
        <v>74</v>
      </c>
      <c r="N12" s="13" t="s">
        <v>74</v>
      </c>
      <c r="O12" s="15">
        <v>1</v>
      </c>
      <c r="P12" s="15">
        <v>1</v>
      </c>
      <c r="Q12" s="15">
        <v>1</v>
      </c>
      <c r="R12" s="15">
        <v>0</v>
      </c>
      <c r="S12" s="15">
        <v>3</v>
      </c>
      <c r="T12" s="15">
        <v>3</v>
      </c>
      <c r="U12" s="15">
        <v>2</v>
      </c>
      <c r="V12" s="15">
        <v>2</v>
      </c>
      <c r="W12" s="15">
        <v>2</v>
      </c>
      <c r="X12" s="15">
        <v>2</v>
      </c>
      <c r="Y12" s="15">
        <v>1</v>
      </c>
      <c r="Z12" s="15">
        <v>3</v>
      </c>
      <c r="AA12" s="15">
        <v>3</v>
      </c>
      <c r="AB12" s="15">
        <v>3</v>
      </c>
      <c r="AC12" s="15">
        <v>1</v>
      </c>
      <c r="AD12" s="15">
        <v>1</v>
      </c>
      <c r="AE12" s="15">
        <v>1</v>
      </c>
      <c r="AF12" s="15">
        <v>1</v>
      </c>
      <c r="AG12" s="15">
        <v>1</v>
      </c>
      <c r="AH12" s="15">
        <v>1</v>
      </c>
      <c r="AI12" s="15">
        <v>1</v>
      </c>
      <c r="AJ12" s="15">
        <v>3</v>
      </c>
      <c r="AK12" s="15">
        <v>3</v>
      </c>
      <c r="AL12" s="15">
        <v>3</v>
      </c>
      <c r="AM12" s="15">
        <v>1</v>
      </c>
      <c r="AN12" s="13">
        <v>0</v>
      </c>
      <c r="AO12" s="15">
        <v>0</v>
      </c>
      <c r="AP12" s="15">
        <v>1</v>
      </c>
      <c r="AQ12" s="15">
        <v>3</v>
      </c>
      <c r="AR12" s="15">
        <v>1</v>
      </c>
      <c r="AS12" s="15">
        <v>0</v>
      </c>
      <c r="AT12" s="15">
        <v>1</v>
      </c>
      <c r="AU12" s="15">
        <v>0</v>
      </c>
      <c r="AV12" s="15">
        <v>0</v>
      </c>
      <c r="AW12" s="15">
        <v>1</v>
      </c>
      <c r="AX12" s="15" t="s">
        <v>76</v>
      </c>
      <c r="AY12" s="15" t="s">
        <v>135</v>
      </c>
      <c r="AZ12" s="15"/>
      <c r="BA12" s="15"/>
      <c r="BB12" s="15" t="s">
        <v>136</v>
      </c>
      <c r="BC12" s="15" t="s">
        <v>137</v>
      </c>
      <c r="BD12" s="5">
        <v>43466</v>
      </c>
      <c r="BE12" s="14">
        <f ca="1">IF(ISBLANK($BD12),"",(TODAY()-$BD12)/30)</f>
        <v>14.366666666666667</v>
      </c>
      <c r="BF12" s="29">
        <v>154</v>
      </c>
      <c r="BG12" s="29">
        <v>151</v>
      </c>
      <c r="BH12" s="15">
        <v>151</v>
      </c>
      <c r="BI12" s="28">
        <f>BH12-BG12</f>
        <v>0</v>
      </c>
    </row>
    <row r="13" spans="1:62">
      <c r="A13" s="1">
        <f>ROW()-2</f>
        <v>11</v>
      </c>
      <c r="B13" s="4" t="s">
        <v>138</v>
      </c>
      <c r="C13" s="15" t="s">
        <v>98</v>
      </c>
      <c r="D13" s="15" t="s">
        <v>139</v>
      </c>
      <c r="E13" s="15" t="s">
        <v>72</v>
      </c>
      <c r="F13" s="7" t="s">
        <v>73</v>
      </c>
      <c r="G13" s="17">
        <f>IF(SUM(O13:AW13)&gt;0,SUM(O13:AW13)+100,0)</f>
        <v>150</v>
      </c>
      <c r="H13" s="14">
        <f>IFERROR(SUM(O13:AW13)/35, "")</f>
        <v>1.4285714285714286</v>
      </c>
      <c r="I13" s="13" t="str">
        <f>IF(H13&gt;=2.8,"Legendary",IF(H13&gt;=2,"Avenger",IF(H13&gt;=1,"Superhero","Hero")))</f>
        <v>Superhero</v>
      </c>
      <c r="J13" s="13" t="s">
        <v>74</v>
      </c>
      <c r="K13" s="13" t="s">
        <v>74</v>
      </c>
      <c r="L13" s="13" t="s">
        <v>75</v>
      </c>
      <c r="M13" s="13" t="s">
        <v>75</v>
      </c>
      <c r="N13" s="13" t="s">
        <v>74</v>
      </c>
      <c r="O13" s="15">
        <v>1</v>
      </c>
      <c r="P13" s="15">
        <v>1</v>
      </c>
      <c r="Q13" s="15">
        <v>2</v>
      </c>
      <c r="R13" s="15">
        <v>0</v>
      </c>
      <c r="S13" s="15">
        <v>2</v>
      </c>
      <c r="T13" s="15">
        <v>2</v>
      </c>
      <c r="U13" s="15">
        <v>2</v>
      </c>
      <c r="V13" s="15">
        <v>2</v>
      </c>
      <c r="W13" s="15">
        <v>2</v>
      </c>
      <c r="X13" s="15">
        <v>2</v>
      </c>
      <c r="Y13" s="15">
        <v>1</v>
      </c>
      <c r="Z13" s="15">
        <v>1</v>
      </c>
      <c r="AA13" s="15">
        <v>3</v>
      </c>
      <c r="AB13" s="15">
        <v>3</v>
      </c>
      <c r="AC13" s="15">
        <v>3</v>
      </c>
      <c r="AD13" s="15">
        <v>0</v>
      </c>
      <c r="AE13" s="15">
        <v>1</v>
      </c>
      <c r="AF13" s="15">
        <v>1</v>
      </c>
      <c r="AG13" s="15">
        <v>1</v>
      </c>
      <c r="AH13" s="15">
        <v>1</v>
      </c>
      <c r="AI13" s="15">
        <v>1</v>
      </c>
      <c r="AJ13" s="15">
        <v>1</v>
      </c>
      <c r="AK13" s="15">
        <v>3</v>
      </c>
      <c r="AL13" s="15">
        <v>3</v>
      </c>
      <c r="AM13" s="15">
        <v>2</v>
      </c>
      <c r="AN13" s="13">
        <v>0</v>
      </c>
      <c r="AO13" s="15">
        <v>1</v>
      </c>
      <c r="AP13" s="15">
        <v>0</v>
      </c>
      <c r="AQ13" s="15">
        <v>3</v>
      </c>
      <c r="AR13" s="15">
        <v>1</v>
      </c>
      <c r="AS13" s="15">
        <v>0</v>
      </c>
      <c r="AT13" s="15">
        <v>1</v>
      </c>
      <c r="AU13" s="15">
        <v>0</v>
      </c>
      <c r="AV13" s="15">
        <v>3</v>
      </c>
      <c r="AW13" s="15">
        <v>0</v>
      </c>
      <c r="AX13" s="15" t="s">
        <v>76</v>
      </c>
      <c r="AY13" s="15" t="s">
        <v>135</v>
      </c>
      <c r="AZ13" s="15" t="s">
        <v>140</v>
      </c>
      <c r="BA13" s="15" t="s">
        <v>137</v>
      </c>
      <c r="BB13" s="15" t="s">
        <v>141</v>
      </c>
      <c r="BC13" s="15" t="s">
        <v>104</v>
      </c>
      <c r="BD13" s="5">
        <v>43523</v>
      </c>
      <c r="BE13" s="14">
        <f ca="1">IF(ISBLANK($BD13),"",(TODAY()-$BD13)/30)</f>
        <v>12.466666666666667</v>
      </c>
      <c r="BF13" s="29">
        <v>156</v>
      </c>
      <c r="BG13" s="29">
        <v>150</v>
      </c>
      <c r="BH13" s="15">
        <v>150</v>
      </c>
      <c r="BI13" s="28">
        <f>BH13-BG13</f>
        <v>0</v>
      </c>
    </row>
    <row r="14" spans="1:62">
      <c r="A14" s="1">
        <f>ROW()-2</f>
        <v>12</v>
      </c>
      <c r="B14" s="4" t="s">
        <v>142</v>
      </c>
      <c r="C14" s="15" t="s">
        <v>143</v>
      </c>
      <c r="D14" s="15" t="s">
        <v>115</v>
      </c>
      <c r="E14" s="15" t="s">
        <v>144</v>
      </c>
      <c r="F14" s="7" t="s">
        <v>73</v>
      </c>
      <c r="G14" s="17">
        <f>IF(SUM(O14:AW14)&gt;0,SUM(O14:AW14)+100,0)</f>
        <v>149</v>
      </c>
      <c r="H14" s="14">
        <f>IFERROR(SUM(O14:AW14)/35, "")</f>
        <v>1.4</v>
      </c>
      <c r="I14" s="13" t="str">
        <f>IF(H14&gt;=2.8,"Legendary",IF(H14&gt;=2,"Avenger",IF(H14&gt;=1,"Superhero","Hero")))</f>
        <v>Superhero</v>
      </c>
      <c r="J14" s="13" t="s">
        <v>75</v>
      </c>
      <c r="K14" s="13" t="s">
        <v>75</v>
      </c>
      <c r="L14" s="13" t="s">
        <v>75</v>
      </c>
      <c r="M14" s="13" t="s">
        <v>74</v>
      </c>
      <c r="N14" s="13" t="s">
        <v>74</v>
      </c>
      <c r="O14" s="15">
        <v>1</v>
      </c>
      <c r="P14" s="15">
        <v>3</v>
      </c>
      <c r="Q14" s="15">
        <v>2</v>
      </c>
      <c r="R14" s="15">
        <v>3</v>
      </c>
      <c r="S14" s="15">
        <v>2</v>
      </c>
      <c r="T14" s="15">
        <v>2</v>
      </c>
      <c r="U14" s="15">
        <v>2</v>
      </c>
      <c r="V14" s="15">
        <v>0</v>
      </c>
      <c r="W14" s="15">
        <v>2</v>
      </c>
      <c r="X14" s="15">
        <v>2</v>
      </c>
      <c r="Y14" s="15">
        <v>1</v>
      </c>
      <c r="Z14" s="15">
        <v>0</v>
      </c>
      <c r="AA14" s="15">
        <v>2</v>
      </c>
      <c r="AB14" s="15">
        <v>3</v>
      </c>
      <c r="AC14" s="15">
        <v>2</v>
      </c>
      <c r="AD14" s="15">
        <v>1</v>
      </c>
      <c r="AE14" s="15">
        <v>0</v>
      </c>
      <c r="AF14" s="15">
        <v>0</v>
      </c>
      <c r="AG14" s="15">
        <v>0</v>
      </c>
      <c r="AH14" s="15">
        <v>0</v>
      </c>
      <c r="AI14" s="15">
        <v>1</v>
      </c>
      <c r="AJ14" s="15">
        <v>1</v>
      </c>
      <c r="AK14" s="15">
        <v>3</v>
      </c>
      <c r="AL14" s="15">
        <v>3</v>
      </c>
      <c r="AM14" s="15">
        <v>3</v>
      </c>
      <c r="AN14" s="13">
        <v>2</v>
      </c>
      <c r="AO14" s="15">
        <v>0</v>
      </c>
      <c r="AP14" s="15">
        <v>0</v>
      </c>
      <c r="AQ14" s="15">
        <v>1</v>
      </c>
      <c r="AR14" s="15">
        <v>1</v>
      </c>
      <c r="AS14" s="15">
        <v>2</v>
      </c>
      <c r="AT14" s="15">
        <v>2</v>
      </c>
      <c r="AU14" s="15">
        <v>0</v>
      </c>
      <c r="AV14" s="15">
        <v>2</v>
      </c>
      <c r="AW14" s="15">
        <v>0</v>
      </c>
      <c r="AX14" s="15" t="s">
        <v>145</v>
      </c>
      <c r="AY14" s="15" t="s">
        <v>146</v>
      </c>
      <c r="AZ14" s="15" t="s">
        <v>147</v>
      </c>
      <c r="BA14" s="15" t="s">
        <v>148</v>
      </c>
      <c r="BB14" s="15" t="s">
        <v>105</v>
      </c>
      <c r="BC14" s="15" t="s">
        <v>149</v>
      </c>
      <c r="BD14" s="5">
        <v>43594</v>
      </c>
      <c r="BE14" s="14">
        <f ca="1">IF(ISBLANK($BD14),"",(TODAY()-$BD14)/30)</f>
        <v>10.1</v>
      </c>
      <c r="BF14" s="29">
        <v>150</v>
      </c>
      <c r="BG14" s="29">
        <v>149</v>
      </c>
      <c r="BH14" s="15">
        <v>149</v>
      </c>
      <c r="BI14" s="28">
        <f>BH14-BG14</f>
        <v>0</v>
      </c>
    </row>
    <row r="15" spans="1:62">
      <c r="A15" s="1">
        <f>ROW()-2</f>
        <v>13</v>
      </c>
      <c r="B15" s="4" t="s">
        <v>150</v>
      </c>
      <c r="C15" s="15" t="s">
        <v>151</v>
      </c>
      <c r="D15" s="15" t="s">
        <v>152</v>
      </c>
      <c r="E15" s="15" t="s">
        <v>153</v>
      </c>
      <c r="F15" s="7" t="s">
        <v>73</v>
      </c>
      <c r="G15" s="17">
        <f>IF(SUM(O15:AW15)&gt;0,SUM(O15:AW15)+100,0)</f>
        <v>146</v>
      </c>
      <c r="H15" s="14">
        <f>IFERROR(SUM(O15:AW15)/35, "")</f>
        <v>1.3142857142857143</v>
      </c>
      <c r="I15" s="13" t="str">
        <f>IF(H15&gt;=2.8,"Legendary",IF(H15&gt;=2,"Avenger",IF(H15&gt;=1,"Superhero","Hero")))</f>
        <v>Superhero</v>
      </c>
      <c r="J15" s="13" t="s">
        <v>74</v>
      </c>
      <c r="K15" s="13" t="s">
        <v>74</v>
      </c>
      <c r="L15" s="13" t="s">
        <v>75</v>
      </c>
      <c r="M15" s="13" t="s">
        <v>75</v>
      </c>
      <c r="N15" s="13" t="s">
        <v>75</v>
      </c>
      <c r="O15" s="15">
        <v>1</v>
      </c>
      <c r="P15" s="15">
        <v>1</v>
      </c>
      <c r="Q15" s="15">
        <v>1</v>
      </c>
      <c r="R15" s="15">
        <v>0</v>
      </c>
      <c r="S15" s="15">
        <v>2</v>
      </c>
      <c r="T15" s="15">
        <v>2</v>
      </c>
      <c r="U15" s="15">
        <v>2</v>
      </c>
      <c r="V15" s="15">
        <v>2</v>
      </c>
      <c r="W15" s="15">
        <v>2</v>
      </c>
      <c r="X15" s="15">
        <v>2</v>
      </c>
      <c r="Y15" s="15">
        <v>1</v>
      </c>
      <c r="Z15" s="15">
        <v>1</v>
      </c>
      <c r="AA15" s="15">
        <v>2</v>
      </c>
      <c r="AB15" s="15">
        <v>2</v>
      </c>
      <c r="AC15" s="15">
        <v>1</v>
      </c>
      <c r="AD15" s="15">
        <v>2</v>
      </c>
      <c r="AE15" s="15">
        <v>2</v>
      </c>
      <c r="AF15" s="15">
        <v>1</v>
      </c>
      <c r="AG15" s="15">
        <v>1</v>
      </c>
      <c r="AH15" s="15">
        <v>0</v>
      </c>
      <c r="AI15" s="15">
        <v>1</v>
      </c>
      <c r="AJ15" s="15">
        <v>1</v>
      </c>
      <c r="AK15" s="15">
        <v>3</v>
      </c>
      <c r="AL15" s="15">
        <v>1</v>
      </c>
      <c r="AM15" s="15">
        <v>3</v>
      </c>
      <c r="AN15" s="13">
        <v>0</v>
      </c>
      <c r="AO15" s="15">
        <v>1</v>
      </c>
      <c r="AP15" s="15">
        <v>0</v>
      </c>
      <c r="AQ15" s="15">
        <v>2</v>
      </c>
      <c r="AR15" s="15">
        <v>1</v>
      </c>
      <c r="AS15" s="15">
        <v>1</v>
      </c>
      <c r="AT15" s="15">
        <v>1</v>
      </c>
      <c r="AU15" s="15">
        <v>2</v>
      </c>
      <c r="AV15" s="15">
        <v>0</v>
      </c>
      <c r="AW15" s="15">
        <v>1</v>
      </c>
      <c r="AX15" s="15" t="s">
        <v>109</v>
      </c>
      <c r="AY15" s="15" t="s">
        <v>154</v>
      </c>
      <c r="AZ15" s="15" t="s">
        <v>155</v>
      </c>
      <c r="BA15" s="15" t="s">
        <v>156</v>
      </c>
      <c r="BB15" s="15" t="s">
        <v>136</v>
      </c>
      <c r="BC15" s="15" t="s">
        <v>157</v>
      </c>
      <c r="BD15" s="5">
        <v>43586</v>
      </c>
      <c r="BE15" s="14">
        <f ca="1">IF(ISBLANK($BD15),"",(TODAY()-$BD15)/30)</f>
        <v>10.366666666666667</v>
      </c>
      <c r="BF15" s="29">
        <v>128</v>
      </c>
      <c r="BG15" s="29">
        <v>146</v>
      </c>
      <c r="BH15" s="15">
        <v>146</v>
      </c>
      <c r="BI15" s="28">
        <f>BH15-BG15</f>
        <v>0</v>
      </c>
      <c r="BJ15" s="26">
        <f>(BG15/BF15)-1</f>
        <v>0.140625</v>
      </c>
    </row>
    <row r="16" spans="1:62">
      <c r="A16" s="1">
        <f>ROW()-2</f>
        <v>14</v>
      </c>
      <c r="B16" s="4" t="s">
        <v>158</v>
      </c>
      <c r="C16" s="15" t="s">
        <v>70</v>
      </c>
      <c r="D16" s="15" t="s">
        <v>159</v>
      </c>
      <c r="E16" s="15" t="s">
        <v>144</v>
      </c>
      <c r="F16" s="7" t="s">
        <v>73</v>
      </c>
      <c r="G16" s="17">
        <f>IF(SUM(O16:AW16)&gt;0,SUM(O16:AW16)+100,0)</f>
        <v>146</v>
      </c>
      <c r="H16" s="14">
        <f>IFERROR(SUM(O16:AW16)/35, "")</f>
        <v>1.3142857142857143</v>
      </c>
      <c r="I16" s="13" t="str">
        <f>IF(H16&gt;=2.8,"Legendary",IF(H16&gt;=2,"Avenger",IF(H16&gt;=1,"Superhero","Hero")))</f>
        <v>Superhero</v>
      </c>
      <c r="J16" s="13" t="s">
        <v>75</v>
      </c>
      <c r="K16" s="13" t="s">
        <v>75</v>
      </c>
      <c r="L16" s="13" t="s">
        <v>75</v>
      </c>
      <c r="M16" s="13" t="s">
        <v>75</v>
      </c>
      <c r="N16" s="13" t="s">
        <v>74</v>
      </c>
      <c r="O16" s="15">
        <v>1</v>
      </c>
      <c r="P16" s="15">
        <v>2</v>
      </c>
      <c r="Q16" s="15">
        <v>1</v>
      </c>
      <c r="R16" s="15">
        <v>2</v>
      </c>
      <c r="S16" s="15">
        <v>3</v>
      </c>
      <c r="T16" s="15">
        <v>2</v>
      </c>
      <c r="U16" s="15">
        <v>3</v>
      </c>
      <c r="V16" s="15">
        <v>3</v>
      </c>
      <c r="W16" s="15">
        <v>1</v>
      </c>
      <c r="X16" s="15">
        <v>2</v>
      </c>
      <c r="Y16" s="15">
        <v>2</v>
      </c>
      <c r="Z16" s="15">
        <v>1</v>
      </c>
      <c r="AA16" s="15">
        <v>3</v>
      </c>
      <c r="AB16" s="15">
        <v>2</v>
      </c>
      <c r="AC16" s="15">
        <v>2</v>
      </c>
      <c r="AD16" s="15">
        <v>0</v>
      </c>
      <c r="AE16" s="15">
        <v>0</v>
      </c>
      <c r="AF16" s="15">
        <v>0</v>
      </c>
      <c r="AG16" s="15">
        <v>1</v>
      </c>
      <c r="AH16" s="15">
        <v>0</v>
      </c>
      <c r="AI16" s="15">
        <v>0</v>
      </c>
      <c r="AJ16" s="15">
        <v>1</v>
      </c>
      <c r="AK16" s="15">
        <v>3</v>
      </c>
      <c r="AL16" s="15">
        <v>1</v>
      </c>
      <c r="AM16" s="15">
        <v>2</v>
      </c>
      <c r="AN16" s="13">
        <v>1</v>
      </c>
      <c r="AO16" s="15">
        <v>0</v>
      </c>
      <c r="AP16" s="15">
        <v>0</v>
      </c>
      <c r="AQ16" s="15">
        <v>1</v>
      </c>
      <c r="AR16" s="15">
        <v>1</v>
      </c>
      <c r="AS16" s="15">
        <v>1</v>
      </c>
      <c r="AT16" s="15">
        <v>2</v>
      </c>
      <c r="AU16" s="15">
        <v>1</v>
      </c>
      <c r="AV16" s="15">
        <v>1</v>
      </c>
      <c r="AW16" s="15">
        <v>0</v>
      </c>
      <c r="AX16" s="15" t="s">
        <v>109</v>
      </c>
      <c r="AY16" s="15" t="s">
        <v>160</v>
      </c>
      <c r="AZ16" s="15" t="s">
        <v>161</v>
      </c>
      <c r="BA16" s="15" t="s">
        <v>162</v>
      </c>
      <c r="BB16" s="15" t="s">
        <v>80</v>
      </c>
      <c r="BC16" s="15" t="s">
        <v>81</v>
      </c>
      <c r="BD16" s="5">
        <v>43266</v>
      </c>
      <c r="BE16" s="14">
        <f ca="1">IF(ISBLANK($BD16),"",(TODAY()-$BD16)/30)</f>
        <v>21.033333333333335</v>
      </c>
      <c r="BF16" s="29">
        <v>139</v>
      </c>
      <c r="BG16" s="29">
        <v>146</v>
      </c>
      <c r="BH16" s="15">
        <v>146</v>
      </c>
      <c r="BI16" s="28">
        <f>BH16-BG16</f>
        <v>0</v>
      </c>
    </row>
    <row r="17" spans="1:62">
      <c r="A17" s="1">
        <f>ROW()-2</f>
        <v>15</v>
      </c>
      <c r="B17" s="4" t="s">
        <v>163</v>
      </c>
      <c r="C17" s="15" t="s">
        <v>98</v>
      </c>
      <c r="D17" s="15" t="s">
        <v>164</v>
      </c>
      <c r="E17" s="15" t="s">
        <v>120</v>
      </c>
      <c r="F17" s="7" t="s">
        <v>73</v>
      </c>
      <c r="G17" s="17">
        <f>IF(SUM(O17:AW17)&gt;0,SUM(O17:AW17)+100,0)</f>
        <v>145</v>
      </c>
      <c r="H17" s="14">
        <f>IFERROR(SUM(O17:AW17)/35, "")</f>
        <v>1.2857142857142858</v>
      </c>
      <c r="I17" s="13" t="str">
        <f>IF(H17&gt;=2.8,"Legendary",IF(H17&gt;=2,"Avenger",IF(H17&gt;=1,"Superhero","Hero")))</f>
        <v>Superhero</v>
      </c>
      <c r="J17" s="13" t="s">
        <v>74</v>
      </c>
      <c r="K17" s="13" t="s">
        <v>74</v>
      </c>
      <c r="L17" s="13" t="s">
        <v>75</v>
      </c>
      <c r="M17" s="13" t="s">
        <v>75</v>
      </c>
      <c r="N17" s="13" t="s">
        <v>74</v>
      </c>
      <c r="O17" s="15">
        <v>2</v>
      </c>
      <c r="P17" s="15">
        <v>2</v>
      </c>
      <c r="Q17" s="15">
        <v>1</v>
      </c>
      <c r="R17" s="15">
        <v>0</v>
      </c>
      <c r="S17" s="15">
        <v>2</v>
      </c>
      <c r="T17" s="15">
        <v>2</v>
      </c>
      <c r="U17" s="15">
        <v>3</v>
      </c>
      <c r="V17" s="15">
        <v>3</v>
      </c>
      <c r="W17" s="15">
        <v>1</v>
      </c>
      <c r="X17" s="15">
        <v>1</v>
      </c>
      <c r="Y17" s="15">
        <v>1</v>
      </c>
      <c r="Z17" s="15">
        <v>1</v>
      </c>
      <c r="AA17" s="15">
        <v>3</v>
      </c>
      <c r="AB17" s="15">
        <v>3</v>
      </c>
      <c r="AC17" s="15">
        <v>2</v>
      </c>
      <c r="AD17" s="15">
        <v>0</v>
      </c>
      <c r="AE17" s="15">
        <v>1</v>
      </c>
      <c r="AF17" s="15">
        <v>1</v>
      </c>
      <c r="AG17" s="15">
        <v>1</v>
      </c>
      <c r="AH17" s="15">
        <v>1</v>
      </c>
      <c r="AI17" s="15">
        <v>1</v>
      </c>
      <c r="AJ17" s="15">
        <v>1</v>
      </c>
      <c r="AK17" s="15">
        <v>3</v>
      </c>
      <c r="AL17" s="15">
        <v>3</v>
      </c>
      <c r="AM17" s="15">
        <v>1</v>
      </c>
      <c r="AN17" s="13">
        <v>0</v>
      </c>
      <c r="AO17" s="15">
        <v>0</v>
      </c>
      <c r="AP17" s="15">
        <v>0</v>
      </c>
      <c r="AQ17" s="15">
        <v>1</v>
      </c>
      <c r="AR17" s="15">
        <v>1</v>
      </c>
      <c r="AS17" s="15">
        <v>0</v>
      </c>
      <c r="AT17" s="15">
        <v>1</v>
      </c>
      <c r="AU17" s="15">
        <v>0</v>
      </c>
      <c r="AV17" s="15">
        <v>2</v>
      </c>
      <c r="AW17" s="15">
        <v>0</v>
      </c>
      <c r="AX17" s="15" t="s">
        <v>101</v>
      </c>
      <c r="AY17" s="15" t="s">
        <v>165</v>
      </c>
      <c r="AZ17" s="15" t="s">
        <v>166</v>
      </c>
      <c r="BA17" s="15" t="s">
        <v>167</v>
      </c>
      <c r="BB17" s="15" t="s">
        <v>141</v>
      </c>
      <c r="BC17" s="15" t="s">
        <v>104</v>
      </c>
      <c r="BD17" s="5">
        <v>43481</v>
      </c>
      <c r="BE17" s="14">
        <f ca="1">IF(ISBLANK($BD17),"",(TODAY()-$BD17)/30)</f>
        <v>13.866666666666667</v>
      </c>
      <c r="BF17" s="29">
        <v>159</v>
      </c>
      <c r="BG17" s="29">
        <v>145</v>
      </c>
      <c r="BH17" s="15">
        <v>145</v>
      </c>
      <c r="BI17" s="28">
        <f>BH17-BG17</f>
        <v>0</v>
      </c>
    </row>
    <row r="18" spans="1:62">
      <c r="A18" s="1">
        <f>ROW()-2</f>
        <v>16</v>
      </c>
      <c r="B18" s="4" t="s">
        <v>168</v>
      </c>
      <c r="C18" s="15" t="s">
        <v>169</v>
      </c>
      <c r="D18" s="15" t="s">
        <v>170</v>
      </c>
      <c r="E18" s="15" t="s">
        <v>144</v>
      </c>
      <c r="F18" s="7" t="s">
        <v>73</v>
      </c>
      <c r="G18" s="17">
        <f>IF(SUM(O18:AW18)&gt;0,SUM(O18:AW18)+100,0)</f>
        <v>145</v>
      </c>
      <c r="H18" s="14">
        <f>IFERROR(SUM(O18:AW18)/35, "")</f>
        <v>1.2857142857142858</v>
      </c>
      <c r="I18" s="13" t="str">
        <f>IF(H18&gt;=2.8,"Legendary",IF(H18&gt;=2,"Avenger",IF(H18&gt;=1,"Superhero","Hero")))</f>
        <v>Superhero</v>
      </c>
      <c r="J18" s="13" t="s">
        <v>75</v>
      </c>
      <c r="K18" s="13" t="s">
        <v>75</v>
      </c>
      <c r="L18" s="13" t="s">
        <v>75</v>
      </c>
      <c r="M18" s="13" t="s">
        <v>75</v>
      </c>
      <c r="N18" s="13" t="s">
        <v>74</v>
      </c>
      <c r="O18" s="15">
        <v>1</v>
      </c>
      <c r="P18" s="15">
        <v>1</v>
      </c>
      <c r="Q18" s="15">
        <v>2</v>
      </c>
      <c r="R18" s="15">
        <v>2</v>
      </c>
      <c r="S18" s="15">
        <v>1</v>
      </c>
      <c r="T18" s="15">
        <v>1</v>
      </c>
      <c r="U18" s="15">
        <v>3</v>
      </c>
      <c r="V18" s="15">
        <v>2</v>
      </c>
      <c r="W18" s="15">
        <v>2</v>
      </c>
      <c r="X18" s="15">
        <v>2</v>
      </c>
      <c r="Y18" s="15">
        <v>3</v>
      </c>
      <c r="Z18" s="15">
        <v>1</v>
      </c>
      <c r="AA18" s="15">
        <v>3</v>
      </c>
      <c r="AB18" s="15">
        <v>3</v>
      </c>
      <c r="AC18" s="15">
        <v>1</v>
      </c>
      <c r="AD18" s="15">
        <v>0</v>
      </c>
      <c r="AE18" s="15">
        <v>0</v>
      </c>
      <c r="AF18" s="15">
        <v>1</v>
      </c>
      <c r="AG18" s="15">
        <v>1</v>
      </c>
      <c r="AH18" s="15">
        <v>0</v>
      </c>
      <c r="AI18" s="15">
        <v>1</v>
      </c>
      <c r="AJ18" s="15">
        <v>1</v>
      </c>
      <c r="AK18" s="15">
        <v>3</v>
      </c>
      <c r="AL18" s="15">
        <v>2</v>
      </c>
      <c r="AM18" s="15">
        <v>2</v>
      </c>
      <c r="AN18" s="13">
        <v>1</v>
      </c>
      <c r="AO18" s="15">
        <v>0</v>
      </c>
      <c r="AP18" s="15">
        <v>0</v>
      </c>
      <c r="AQ18" s="15">
        <v>1</v>
      </c>
      <c r="AR18" s="15">
        <v>1</v>
      </c>
      <c r="AS18" s="15">
        <v>0</v>
      </c>
      <c r="AT18" s="15">
        <v>1</v>
      </c>
      <c r="AU18" s="15">
        <v>1</v>
      </c>
      <c r="AV18" s="15">
        <v>0</v>
      </c>
      <c r="AW18" s="15">
        <v>1</v>
      </c>
      <c r="AX18" s="15" t="s">
        <v>109</v>
      </c>
      <c r="AY18" s="15" t="s">
        <v>171</v>
      </c>
      <c r="AZ18" s="15" t="s">
        <v>172</v>
      </c>
      <c r="BA18" s="15" t="s">
        <v>173</v>
      </c>
      <c r="BB18" s="15" t="s">
        <v>174</v>
      </c>
      <c r="BC18" s="15" t="s">
        <v>81</v>
      </c>
      <c r="BD18" s="5">
        <v>43723</v>
      </c>
      <c r="BE18" s="14">
        <f ca="1">IF(ISBLANK($BD18),"",(TODAY()-$BD18)/30)</f>
        <v>5.8</v>
      </c>
      <c r="BF18" s="29">
        <v>135</v>
      </c>
      <c r="BG18" s="29">
        <v>145</v>
      </c>
      <c r="BH18" s="15">
        <v>145</v>
      </c>
      <c r="BI18" s="28">
        <f>BH18-BG18</f>
        <v>0</v>
      </c>
    </row>
    <row r="19" spans="1:62">
      <c r="A19" s="1">
        <f>ROW()-2</f>
        <v>17</v>
      </c>
      <c r="B19" s="4" t="s">
        <v>127</v>
      </c>
      <c r="C19" s="15" t="s">
        <v>127</v>
      </c>
      <c r="D19" s="15"/>
      <c r="E19" s="15" t="s">
        <v>108</v>
      </c>
      <c r="F19" s="7" t="s">
        <v>73</v>
      </c>
      <c r="G19" s="17">
        <f>IF(SUM(O19:AW19)&gt;0,SUM(O19:AW19)+100,0)</f>
        <v>144</v>
      </c>
      <c r="H19" s="14">
        <f>IFERROR(SUM(O19:AW19)/35, "")</f>
        <v>1.2571428571428571</v>
      </c>
      <c r="I19" s="13" t="str">
        <f>IF(H19&gt;=2.8,"Legendary",IF(H19&gt;=2,"Avenger",IF(H19&gt;=1,"Superhero","Hero")))</f>
        <v>Superhero</v>
      </c>
      <c r="J19" s="13" t="s">
        <v>74</v>
      </c>
      <c r="K19" s="13" t="s">
        <v>87</v>
      </c>
      <c r="L19" s="13" t="s">
        <v>75</v>
      </c>
      <c r="M19" s="13" t="s">
        <v>74</v>
      </c>
      <c r="N19" s="13" t="s">
        <v>74</v>
      </c>
      <c r="O19" s="15">
        <v>1</v>
      </c>
      <c r="P19" s="15">
        <v>1</v>
      </c>
      <c r="Q19" s="15">
        <v>2</v>
      </c>
      <c r="R19" s="15">
        <v>1</v>
      </c>
      <c r="S19" s="15">
        <v>2</v>
      </c>
      <c r="T19" s="15">
        <v>1</v>
      </c>
      <c r="U19" s="15">
        <v>2</v>
      </c>
      <c r="V19" s="15">
        <v>1</v>
      </c>
      <c r="W19" s="15">
        <v>2</v>
      </c>
      <c r="X19" s="15">
        <v>1</v>
      </c>
      <c r="Y19" s="15">
        <v>1</v>
      </c>
      <c r="Z19" s="15">
        <v>1</v>
      </c>
      <c r="AA19" s="15">
        <v>2</v>
      </c>
      <c r="AB19" s="15">
        <v>2</v>
      </c>
      <c r="AC19" s="15">
        <v>2</v>
      </c>
      <c r="AD19" s="15">
        <v>1</v>
      </c>
      <c r="AE19" s="15">
        <v>1</v>
      </c>
      <c r="AF19" s="15">
        <v>1</v>
      </c>
      <c r="AG19" s="15">
        <v>1</v>
      </c>
      <c r="AH19" s="15">
        <v>0</v>
      </c>
      <c r="AI19" s="15">
        <v>1</v>
      </c>
      <c r="AJ19" s="15">
        <v>0</v>
      </c>
      <c r="AK19" s="15">
        <v>3</v>
      </c>
      <c r="AL19" s="15">
        <v>1</v>
      </c>
      <c r="AM19" s="15">
        <v>2</v>
      </c>
      <c r="AN19" s="13">
        <v>1</v>
      </c>
      <c r="AO19" s="15">
        <v>0</v>
      </c>
      <c r="AP19" s="15">
        <v>0</v>
      </c>
      <c r="AQ19" s="15">
        <v>1</v>
      </c>
      <c r="AR19" s="15">
        <v>2</v>
      </c>
      <c r="AS19" s="15">
        <v>1</v>
      </c>
      <c r="AT19" s="15">
        <v>2</v>
      </c>
      <c r="AU19" s="15">
        <v>2</v>
      </c>
      <c r="AV19" s="15">
        <v>0</v>
      </c>
      <c r="AW19" s="15">
        <v>2</v>
      </c>
      <c r="AX19" s="15" t="s">
        <v>109</v>
      </c>
      <c r="AY19" s="15" t="s">
        <v>175</v>
      </c>
      <c r="AZ19" s="15" t="s">
        <v>131</v>
      </c>
      <c r="BA19" s="15" t="s">
        <v>175</v>
      </c>
      <c r="BB19" s="15" t="s">
        <v>132</v>
      </c>
      <c r="BC19" s="15" t="s">
        <v>133</v>
      </c>
      <c r="BD19" s="5">
        <v>43626</v>
      </c>
      <c r="BE19" s="14">
        <f ca="1">IF(ISBLANK($BD19),"",(TODAY()-$BD19)/30)</f>
        <v>9.0333333333333332</v>
      </c>
      <c r="BF19" s="29">
        <v>144</v>
      </c>
      <c r="BG19" s="29">
        <v>144</v>
      </c>
      <c r="BH19" s="15">
        <v>144</v>
      </c>
      <c r="BI19" s="28">
        <f>BH19-BG19</f>
        <v>0</v>
      </c>
    </row>
    <row r="20" spans="1:62">
      <c r="A20" s="1">
        <f>ROW()-2</f>
        <v>18</v>
      </c>
      <c r="B20" s="4" t="s">
        <v>176</v>
      </c>
      <c r="C20" s="15" t="s">
        <v>70</v>
      </c>
      <c r="D20" s="15" t="s">
        <v>177</v>
      </c>
      <c r="E20" s="15" t="s">
        <v>144</v>
      </c>
      <c r="F20" s="7" t="s">
        <v>121</v>
      </c>
      <c r="G20" s="17">
        <f>IF(SUM(O20:AW20)&gt;0,SUM(O20:AW20)+100,0)</f>
        <v>142</v>
      </c>
      <c r="H20" s="14">
        <f>IFERROR(SUM(O20:AW20)/35, "")</f>
        <v>1.2</v>
      </c>
      <c r="I20" s="13" t="str">
        <f>IF(H20&gt;=2.8,"Legendary",IF(H20&gt;=2,"Avenger",IF(H20&gt;=1,"Superhero","Hero")))</f>
        <v>Superhero</v>
      </c>
      <c r="J20" s="13" t="s">
        <v>75</v>
      </c>
      <c r="K20" s="13" t="s">
        <v>75</v>
      </c>
      <c r="L20" s="13" t="s">
        <v>75</v>
      </c>
      <c r="M20" s="13" t="s">
        <v>75</v>
      </c>
      <c r="N20" s="13" t="s">
        <v>75</v>
      </c>
      <c r="O20" s="15">
        <v>1</v>
      </c>
      <c r="P20" s="15">
        <v>1</v>
      </c>
      <c r="Q20" s="15">
        <v>1</v>
      </c>
      <c r="R20" s="15">
        <v>2</v>
      </c>
      <c r="S20" s="15">
        <v>2</v>
      </c>
      <c r="T20" s="15">
        <v>2</v>
      </c>
      <c r="U20" s="15">
        <v>3</v>
      </c>
      <c r="V20" s="15">
        <v>1</v>
      </c>
      <c r="W20" s="15">
        <v>2</v>
      </c>
      <c r="X20" s="15">
        <v>2</v>
      </c>
      <c r="Y20" s="15">
        <v>1</v>
      </c>
      <c r="Z20" s="15">
        <v>1</v>
      </c>
      <c r="AA20" s="15">
        <v>3</v>
      </c>
      <c r="AB20" s="15">
        <v>2</v>
      </c>
      <c r="AC20" s="15">
        <v>2</v>
      </c>
      <c r="AD20" s="15">
        <v>0</v>
      </c>
      <c r="AE20" s="15">
        <v>0</v>
      </c>
      <c r="AF20" s="15">
        <v>0</v>
      </c>
      <c r="AG20" s="15">
        <v>1</v>
      </c>
      <c r="AH20" s="15">
        <v>0</v>
      </c>
      <c r="AI20" s="15">
        <v>0</v>
      </c>
      <c r="AJ20" s="15">
        <v>1</v>
      </c>
      <c r="AK20" s="15">
        <v>3</v>
      </c>
      <c r="AL20" s="15">
        <v>1</v>
      </c>
      <c r="AM20" s="15">
        <v>2</v>
      </c>
      <c r="AN20" s="13">
        <v>1</v>
      </c>
      <c r="AO20" s="15">
        <v>0</v>
      </c>
      <c r="AP20" s="15">
        <v>0</v>
      </c>
      <c r="AQ20" s="15">
        <v>1</v>
      </c>
      <c r="AR20" s="15">
        <v>1</v>
      </c>
      <c r="AS20" s="15">
        <v>1</v>
      </c>
      <c r="AT20" s="15">
        <v>2</v>
      </c>
      <c r="AU20" s="15">
        <v>1</v>
      </c>
      <c r="AV20" s="15">
        <v>1</v>
      </c>
      <c r="AW20" s="15">
        <v>0</v>
      </c>
      <c r="AX20" s="15" t="s">
        <v>109</v>
      </c>
      <c r="AY20" s="15" t="s">
        <v>178</v>
      </c>
      <c r="AZ20" s="15" t="s">
        <v>179</v>
      </c>
      <c r="BA20" s="15" t="s">
        <v>162</v>
      </c>
      <c r="BB20" s="15" t="s">
        <v>80</v>
      </c>
      <c r="BC20" s="15" t="s">
        <v>81</v>
      </c>
      <c r="BD20" s="5">
        <v>43266</v>
      </c>
      <c r="BE20" s="14">
        <f ca="1">IF(ISBLANK($BD20),"",(TODAY()-$BD20)/30)</f>
        <v>21.033333333333335</v>
      </c>
      <c r="BF20" s="29">
        <v>139</v>
      </c>
      <c r="BG20" s="29">
        <v>142</v>
      </c>
      <c r="BH20" s="15">
        <v>142</v>
      </c>
      <c r="BI20" s="28">
        <f>BH20-BG20</f>
        <v>0</v>
      </c>
    </row>
    <row r="21" spans="1:62">
      <c r="A21" s="1">
        <f>ROW()-2</f>
        <v>19</v>
      </c>
      <c r="B21" s="4" t="s">
        <v>180</v>
      </c>
      <c r="C21" s="15" t="s">
        <v>70</v>
      </c>
      <c r="D21" s="15" t="s">
        <v>181</v>
      </c>
      <c r="E21" s="15" t="s">
        <v>144</v>
      </c>
      <c r="F21" s="7" t="s">
        <v>73</v>
      </c>
      <c r="G21" s="17">
        <f>IF(SUM(O21:AW21)&gt;0,SUM(O21:AW21)+100,0)</f>
        <v>141</v>
      </c>
      <c r="H21" s="14">
        <f>IFERROR(SUM(O21:AW21)/35, "")</f>
        <v>1.1714285714285715</v>
      </c>
      <c r="I21" s="13" t="str">
        <f>IF(H21&gt;=2.8,"Legendary",IF(H21&gt;=2,"Avenger",IF(H21&gt;=1,"Superhero","Hero")))</f>
        <v>Superhero</v>
      </c>
      <c r="J21" s="13" t="s">
        <v>75</v>
      </c>
      <c r="K21" s="13" t="s">
        <v>75</v>
      </c>
      <c r="L21" s="13" t="s">
        <v>75</v>
      </c>
      <c r="M21" s="13" t="s">
        <v>75</v>
      </c>
      <c r="N21" s="13" t="s">
        <v>74</v>
      </c>
      <c r="O21" s="15">
        <v>1</v>
      </c>
      <c r="P21" s="15">
        <v>1</v>
      </c>
      <c r="Q21" s="15">
        <v>1</v>
      </c>
      <c r="R21" s="15">
        <v>1</v>
      </c>
      <c r="S21" s="15">
        <v>2</v>
      </c>
      <c r="T21" s="15">
        <v>1</v>
      </c>
      <c r="U21" s="15">
        <v>3</v>
      </c>
      <c r="V21" s="15">
        <v>3</v>
      </c>
      <c r="W21" s="15">
        <v>1</v>
      </c>
      <c r="X21" s="15">
        <v>2</v>
      </c>
      <c r="Y21" s="15">
        <v>1</v>
      </c>
      <c r="Z21" s="15">
        <v>1</v>
      </c>
      <c r="AA21" s="15">
        <v>3</v>
      </c>
      <c r="AB21" s="15">
        <v>2</v>
      </c>
      <c r="AC21" s="15">
        <v>2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1</v>
      </c>
      <c r="AJ21" s="15">
        <v>1</v>
      </c>
      <c r="AK21" s="15">
        <v>3</v>
      </c>
      <c r="AL21" s="15">
        <v>1</v>
      </c>
      <c r="AM21" s="15">
        <v>3</v>
      </c>
      <c r="AN21" s="13">
        <v>0</v>
      </c>
      <c r="AO21" s="15">
        <v>0</v>
      </c>
      <c r="AP21" s="15">
        <v>0</v>
      </c>
      <c r="AQ21" s="15">
        <v>1</v>
      </c>
      <c r="AR21" s="15">
        <v>1</v>
      </c>
      <c r="AS21" s="15">
        <v>1</v>
      </c>
      <c r="AT21" s="15">
        <v>2</v>
      </c>
      <c r="AU21" s="15">
        <v>1</v>
      </c>
      <c r="AV21" s="15">
        <v>1</v>
      </c>
      <c r="AW21" s="15">
        <v>0</v>
      </c>
      <c r="AX21" s="15" t="s">
        <v>109</v>
      </c>
      <c r="AY21" s="15" t="s">
        <v>182</v>
      </c>
      <c r="AZ21" s="15" t="s">
        <v>161</v>
      </c>
      <c r="BA21" s="15" t="s">
        <v>162</v>
      </c>
      <c r="BB21" s="15" t="s">
        <v>80</v>
      </c>
      <c r="BC21" s="15" t="s">
        <v>81</v>
      </c>
      <c r="BD21" s="5">
        <v>43266</v>
      </c>
      <c r="BE21" s="14">
        <f ca="1">IF(ISBLANK($BD21),"",(TODAY()-$BD21)/30)</f>
        <v>21.033333333333335</v>
      </c>
      <c r="BF21" s="29">
        <v>138</v>
      </c>
      <c r="BG21" s="29">
        <v>141</v>
      </c>
      <c r="BH21" s="15">
        <v>141</v>
      </c>
      <c r="BI21" s="28">
        <f>BH21-BG21</f>
        <v>0</v>
      </c>
    </row>
    <row r="22" spans="1:62">
      <c r="A22" s="1">
        <f>ROW()-2</f>
        <v>20</v>
      </c>
      <c r="B22" s="4" t="s">
        <v>183</v>
      </c>
      <c r="C22" s="15" t="s">
        <v>70</v>
      </c>
      <c r="D22" s="15" t="s">
        <v>184</v>
      </c>
      <c r="E22" s="15" t="s">
        <v>108</v>
      </c>
      <c r="F22" s="7" t="s">
        <v>73</v>
      </c>
      <c r="G22" s="17">
        <f>IF(SUM(O22:AW22)&gt;0,SUM(O22:AW22)+100,0)</f>
        <v>140</v>
      </c>
      <c r="H22" s="14">
        <f>IFERROR(SUM(O22:AW22)/35, "")</f>
        <v>1.1428571428571428</v>
      </c>
      <c r="I22" s="13" t="str">
        <f>IF(H22&gt;=2.8,"Legendary",IF(H22&gt;=2,"Avenger",IF(H22&gt;=1,"Superhero","Hero")))</f>
        <v>Superhero</v>
      </c>
      <c r="J22" s="13" t="s">
        <v>75</v>
      </c>
      <c r="K22" s="13" t="s">
        <v>75</v>
      </c>
      <c r="L22" s="13" t="s">
        <v>75</v>
      </c>
      <c r="M22" s="13" t="s">
        <v>75</v>
      </c>
      <c r="N22" s="13" t="s">
        <v>74</v>
      </c>
      <c r="O22" s="15">
        <v>1</v>
      </c>
      <c r="P22" s="15">
        <v>2</v>
      </c>
      <c r="Q22" s="15">
        <v>1</v>
      </c>
      <c r="R22" s="15">
        <v>1</v>
      </c>
      <c r="S22" s="15">
        <v>3</v>
      </c>
      <c r="T22" s="15">
        <v>2</v>
      </c>
      <c r="U22" s="15">
        <v>3</v>
      </c>
      <c r="V22" s="15">
        <v>0</v>
      </c>
      <c r="W22" s="15">
        <v>1</v>
      </c>
      <c r="X22" s="15">
        <v>2</v>
      </c>
      <c r="Y22" s="15">
        <v>1</v>
      </c>
      <c r="Z22" s="15">
        <v>1</v>
      </c>
      <c r="AA22" s="15">
        <v>3</v>
      </c>
      <c r="AB22" s="15">
        <v>2</v>
      </c>
      <c r="AC22" s="15">
        <v>2</v>
      </c>
      <c r="AD22" s="15">
        <v>0</v>
      </c>
      <c r="AE22" s="15">
        <v>0</v>
      </c>
      <c r="AF22" s="15">
        <v>0</v>
      </c>
      <c r="AG22" s="15">
        <v>1</v>
      </c>
      <c r="AH22" s="15">
        <v>0</v>
      </c>
      <c r="AI22" s="15">
        <v>0</v>
      </c>
      <c r="AJ22" s="15">
        <v>1</v>
      </c>
      <c r="AK22" s="15">
        <v>3</v>
      </c>
      <c r="AL22" s="15">
        <v>1</v>
      </c>
      <c r="AM22" s="15">
        <v>2</v>
      </c>
      <c r="AN22" s="13">
        <v>0</v>
      </c>
      <c r="AO22" s="15">
        <v>0</v>
      </c>
      <c r="AP22" s="15">
        <v>0</v>
      </c>
      <c r="AQ22" s="15">
        <v>1</v>
      </c>
      <c r="AR22" s="15">
        <v>1</v>
      </c>
      <c r="AS22" s="15">
        <v>1</v>
      </c>
      <c r="AT22" s="15">
        <v>2</v>
      </c>
      <c r="AU22" s="15">
        <v>1</v>
      </c>
      <c r="AV22" s="15">
        <v>1</v>
      </c>
      <c r="AW22" s="15">
        <v>0</v>
      </c>
      <c r="AX22" s="15" t="s">
        <v>109</v>
      </c>
      <c r="AY22" s="15" t="s">
        <v>160</v>
      </c>
      <c r="AZ22" s="15" t="s">
        <v>111</v>
      </c>
      <c r="BA22" s="15" t="s">
        <v>112</v>
      </c>
      <c r="BB22" s="15" t="s">
        <v>80</v>
      </c>
      <c r="BC22" s="15" t="s">
        <v>81</v>
      </c>
      <c r="BD22" s="5">
        <v>43266</v>
      </c>
      <c r="BE22" s="14">
        <f ca="1">IF(ISBLANK($BD22),"",(TODAY()-$BD22)/30)</f>
        <v>21.033333333333335</v>
      </c>
      <c r="BF22" s="29">
        <v>139</v>
      </c>
      <c r="BG22" s="29">
        <v>140</v>
      </c>
      <c r="BH22" s="15">
        <v>140</v>
      </c>
      <c r="BI22" s="28">
        <f>BH22-BG22</f>
        <v>0</v>
      </c>
    </row>
    <row r="23" spans="1:62">
      <c r="A23" s="1">
        <f>ROW()-2</f>
        <v>21</v>
      </c>
      <c r="B23" s="4" t="s">
        <v>185</v>
      </c>
      <c r="C23" s="15" t="s">
        <v>185</v>
      </c>
      <c r="D23" s="15"/>
      <c r="E23" s="15" t="s">
        <v>72</v>
      </c>
      <c r="F23" s="7" t="s">
        <v>73</v>
      </c>
      <c r="G23" s="17">
        <f>IF(SUM(O23:AW23)&gt;0,SUM(O23:AW23)+100,0)</f>
        <v>139</v>
      </c>
      <c r="H23" s="14">
        <f>IFERROR(SUM(O23:AW23)/35, "")</f>
        <v>1.1142857142857143</v>
      </c>
      <c r="I23" s="13" t="str">
        <f>IF(H23&gt;=2.8,"Legendary",IF(H23&gt;=2,"Avenger",IF(H23&gt;=1,"Superhero","Hero")))</f>
        <v>Superhero</v>
      </c>
      <c r="J23" s="13" t="s">
        <v>74</v>
      </c>
      <c r="K23" s="13" t="s">
        <v>74</v>
      </c>
      <c r="L23" s="13" t="s">
        <v>75</v>
      </c>
      <c r="M23" s="13" t="s">
        <v>75</v>
      </c>
      <c r="N23" s="13" t="s">
        <v>75</v>
      </c>
      <c r="O23" s="15">
        <v>1</v>
      </c>
      <c r="P23" s="15">
        <v>1</v>
      </c>
      <c r="Q23" s="15">
        <v>3</v>
      </c>
      <c r="R23" s="15">
        <v>0</v>
      </c>
      <c r="S23" s="15">
        <v>2</v>
      </c>
      <c r="T23" s="15">
        <v>2</v>
      </c>
      <c r="U23" s="15">
        <v>2</v>
      </c>
      <c r="V23" s="15">
        <v>3</v>
      </c>
      <c r="W23" s="15">
        <v>1</v>
      </c>
      <c r="X23" s="15">
        <v>2</v>
      </c>
      <c r="Y23" s="15">
        <v>1</v>
      </c>
      <c r="Z23" s="15">
        <v>1</v>
      </c>
      <c r="AA23" s="15">
        <v>3</v>
      </c>
      <c r="AB23" s="15">
        <v>0</v>
      </c>
      <c r="AC23" s="15">
        <v>1</v>
      </c>
      <c r="AD23" s="15">
        <v>1</v>
      </c>
      <c r="AE23" s="15">
        <v>1</v>
      </c>
      <c r="AF23" s="15">
        <v>1</v>
      </c>
      <c r="AG23" s="15">
        <v>1</v>
      </c>
      <c r="AH23" s="15">
        <v>1</v>
      </c>
      <c r="AI23" s="15">
        <v>1</v>
      </c>
      <c r="AJ23" s="15">
        <v>1</v>
      </c>
      <c r="AK23" s="15">
        <v>3</v>
      </c>
      <c r="AL23" s="15">
        <v>1</v>
      </c>
      <c r="AM23" s="15">
        <v>1</v>
      </c>
      <c r="AN23" s="13">
        <v>0</v>
      </c>
      <c r="AO23" s="15">
        <v>0</v>
      </c>
      <c r="AP23" s="15">
        <v>0</v>
      </c>
      <c r="AQ23" s="15">
        <v>1</v>
      </c>
      <c r="AR23" s="15">
        <v>1</v>
      </c>
      <c r="AS23" s="15">
        <v>0</v>
      </c>
      <c r="AT23" s="15">
        <v>1</v>
      </c>
      <c r="AU23" s="15">
        <v>1</v>
      </c>
      <c r="AV23" s="15">
        <v>0</v>
      </c>
      <c r="AW23" s="15">
        <v>0</v>
      </c>
      <c r="AX23" s="15" t="s">
        <v>76</v>
      </c>
      <c r="AY23" s="15" t="s">
        <v>186</v>
      </c>
      <c r="AZ23" s="15"/>
      <c r="BA23" s="15"/>
      <c r="BB23" s="15" t="s">
        <v>187</v>
      </c>
      <c r="BC23" s="15" t="s">
        <v>96</v>
      </c>
      <c r="BD23" s="5"/>
      <c r="BE23" s="14" t="str">
        <f ca="1">IF(ISBLANK($BD23),"",(TODAY()-$BD23)/30)</f>
        <v/>
      </c>
      <c r="BF23" s="29">
        <v>142</v>
      </c>
      <c r="BG23" s="29">
        <v>139</v>
      </c>
      <c r="BH23" s="15">
        <v>139</v>
      </c>
      <c r="BI23" s="28">
        <f>BH23-BG23</f>
        <v>0</v>
      </c>
      <c r="BJ23" s="26">
        <f>(BG23/BF23)-1</f>
        <v>-2.1126760563380254E-2</v>
      </c>
    </row>
    <row r="24" spans="1:62">
      <c r="A24" s="1">
        <f>ROW()-2</f>
        <v>22</v>
      </c>
      <c r="B24" s="4" t="s">
        <v>188</v>
      </c>
      <c r="C24" s="15" t="s">
        <v>151</v>
      </c>
      <c r="D24" s="15" t="s">
        <v>189</v>
      </c>
      <c r="E24" s="15" t="s">
        <v>100</v>
      </c>
      <c r="F24" s="7" t="s">
        <v>73</v>
      </c>
      <c r="G24" s="17">
        <f>IF(SUM(O24:AW24)&gt;0,SUM(O24:AW24)+100,0)</f>
        <v>139</v>
      </c>
      <c r="H24" s="14">
        <f>IFERROR(SUM(O24:AW24)/35, "")</f>
        <v>1.1142857142857143</v>
      </c>
      <c r="I24" s="13" t="str">
        <f>IF(H24&gt;=2.8,"Legendary",IF(H24&gt;=2,"Avenger",IF(H24&gt;=1,"Superhero","Hero")))</f>
        <v>Superhero</v>
      </c>
      <c r="J24" s="13" t="s">
        <v>75</v>
      </c>
      <c r="K24" s="13" t="s">
        <v>75</v>
      </c>
      <c r="L24" s="13" t="s">
        <v>75</v>
      </c>
      <c r="M24" s="13" t="s">
        <v>75</v>
      </c>
      <c r="N24" s="13" t="s">
        <v>75</v>
      </c>
      <c r="O24" s="15">
        <v>1</v>
      </c>
      <c r="P24" s="15">
        <v>1</v>
      </c>
      <c r="Q24" s="15">
        <v>1</v>
      </c>
      <c r="R24" s="15">
        <v>0</v>
      </c>
      <c r="S24" s="15">
        <v>1</v>
      </c>
      <c r="T24" s="15">
        <v>1</v>
      </c>
      <c r="U24" s="15">
        <v>2</v>
      </c>
      <c r="V24" s="15">
        <v>0</v>
      </c>
      <c r="W24" s="15">
        <v>1</v>
      </c>
      <c r="X24" s="15">
        <v>2</v>
      </c>
      <c r="Y24" s="15">
        <v>2</v>
      </c>
      <c r="Z24" s="15">
        <v>1</v>
      </c>
      <c r="AA24" s="15">
        <v>2</v>
      </c>
      <c r="AB24" s="15">
        <v>2</v>
      </c>
      <c r="AC24" s="15">
        <v>1</v>
      </c>
      <c r="AD24" s="15">
        <v>2</v>
      </c>
      <c r="AE24" s="15">
        <v>2</v>
      </c>
      <c r="AF24" s="15">
        <v>1</v>
      </c>
      <c r="AG24" s="15">
        <v>1</v>
      </c>
      <c r="AH24" s="15">
        <v>0</v>
      </c>
      <c r="AI24" s="15">
        <v>1</v>
      </c>
      <c r="AJ24" s="15">
        <v>1</v>
      </c>
      <c r="AK24" s="15">
        <v>3</v>
      </c>
      <c r="AL24" s="15">
        <v>1</v>
      </c>
      <c r="AM24" s="15">
        <v>2</v>
      </c>
      <c r="AN24" s="13">
        <v>0</v>
      </c>
      <c r="AO24" s="15">
        <v>1</v>
      </c>
      <c r="AP24" s="15">
        <v>0</v>
      </c>
      <c r="AQ24" s="15">
        <v>1</v>
      </c>
      <c r="AR24" s="15">
        <v>1</v>
      </c>
      <c r="AS24" s="15">
        <v>1</v>
      </c>
      <c r="AT24" s="15">
        <v>1</v>
      </c>
      <c r="AU24" s="15">
        <v>1</v>
      </c>
      <c r="AV24" s="15">
        <v>0</v>
      </c>
      <c r="AW24" s="15">
        <v>1</v>
      </c>
      <c r="AX24" s="15" t="s">
        <v>109</v>
      </c>
      <c r="AY24" s="15" t="s">
        <v>190</v>
      </c>
      <c r="AZ24" s="15" t="s">
        <v>191</v>
      </c>
      <c r="BA24" s="15" t="s">
        <v>156</v>
      </c>
      <c r="BB24" s="15" t="s">
        <v>136</v>
      </c>
      <c r="BC24" s="15" t="s">
        <v>157</v>
      </c>
      <c r="BD24" s="5">
        <v>43586</v>
      </c>
      <c r="BE24" s="14">
        <f ca="1">IF(ISBLANK($BD24),"",(TODAY()-$BD24)/30)</f>
        <v>10.366666666666667</v>
      </c>
      <c r="BF24" s="29">
        <v>126</v>
      </c>
      <c r="BG24" s="29">
        <v>139</v>
      </c>
      <c r="BH24" s="15">
        <v>139</v>
      </c>
      <c r="BI24" s="28">
        <f>BH24-BG24</f>
        <v>0</v>
      </c>
    </row>
    <row r="25" spans="1:62">
      <c r="A25" s="1">
        <f>ROW()-2</f>
        <v>23</v>
      </c>
      <c r="B25" s="4" t="s">
        <v>192</v>
      </c>
      <c r="C25" s="15" t="s">
        <v>151</v>
      </c>
      <c r="D25" s="15" t="s">
        <v>193</v>
      </c>
      <c r="E25" s="15" t="s">
        <v>100</v>
      </c>
      <c r="F25" s="7" t="s">
        <v>73</v>
      </c>
      <c r="G25" s="17">
        <f>IF(SUM(O25:AW25)&gt;0,SUM(O25:AW25)+100,0)</f>
        <v>138</v>
      </c>
      <c r="H25" s="14">
        <f>IFERROR(SUM(O25:AW25)/35, "")</f>
        <v>1.0857142857142856</v>
      </c>
      <c r="I25" s="13" t="str">
        <f>IF(H25&gt;=2.8,"Legendary",IF(H25&gt;=2,"Avenger",IF(H25&gt;=1,"Superhero","Hero")))</f>
        <v>Superhero</v>
      </c>
      <c r="J25" s="13" t="s">
        <v>75</v>
      </c>
      <c r="K25" s="13" t="s">
        <v>75</v>
      </c>
      <c r="L25" s="13" t="s">
        <v>75</v>
      </c>
      <c r="M25" s="13" t="s">
        <v>75</v>
      </c>
      <c r="N25" s="13" t="s">
        <v>75</v>
      </c>
      <c r="O25" s="15">
        <v>1</v>
      </c>
      <c r="P25" s="15">
        <v>1</v>
      </c>
      <c r="Q25" s="15">
        <v>1</v>
      </c>
      <c r="R25" s="15">
        <v>0</v>
      </c>
      <c r="S25" s="15">
        <v>1</v>
      </c>
      <c r="T25" s="15">
        <v>1</v>
      </c>
      <c r="U25" s="15">
        <v>2</v>
      </c>
      <c r="V25" s="15">
        <v>0</v>
      </c>
      <c r="W25" s="15">
        <v>1</v>
      </c>
      <c r="X25" s="15">
        <v>2</v>
      </c>
      <c r="Y25" s="15">
        <v>1</v>
      </c>
      <c r="Z25" s="15">
        <v>1</v>
      </c>
      <c r="AA25" s="15">
        <v>2</v>
      </c>
      <c r="AB25" s="15">
        <v>2</v>
      </c>
      <c r="AC25" s="15">
        <v>1</v>
      </c>
      <c r="AD25" s="15">
        <v>2</v>
      </c>
      <c r="AE25" s="15">
        <v>2</v>
      </c>
      <c r="AF25" s="15">
        <v>1</v>
      </c>
      <c r="AG25" s="15">
        <v>1</v>
      </c>
      <c r="AH25" s="15">
        <v>0</v>
      </c>
      <c r="AI25" s="15">
        <v>1</v>
      </c>
      <c r="AJ25" s="15">
        <v>1</v>
      </c>
      <c r="AK25" s="15">
        <v>3</v>
      </c>
      <c r="AL25" s="15">
        <v>1</v>
      </c>
      <c r="AM25" s="15">
        <v>2</v>
      </c>
      <c r="AN25" s="13">
        <v>0</v>
      </c>
      <c r="AO25" s="15">
        <v>1</v>
      </c>
      <c r="AP25" s="15">
        <v>0</v>
      </c>
      <c r="AQ25" s="15">
        <v>1</v>
      </c>
      <c r="AR25" s="15">
        <v>1</v>
      </c>
      <c r="AS25" s="15">
        <v>1</v>
      </c>
      <c r="AT25" s="15">
        <v>1</v>
      </c>
      <c r="AU25" s="15">
        <v>1</v>
      </c>
      <c r="AV25" s="15">
        <v>0</v>
      </c>
      <c r="AW25" s="15">
        <v>1</v>
      </c>
      <c r="AX25" s="15" t="s">
        <v>109</v>
      </c>
      <c r="AY25" s="15" t="s">
        <v>194</v>
      </c>
      <c r="AZ25" s="15" t="s">
        <v>195</v>
      </c>
      <c r="BA25" s="15" t="s">
        <v>156</v>
      </c>
      <c r="BB25" s="15" t="s">
        <v>136</v>
      </c>
      <c r="BC25" s="15" t="s">
        <v>157</v>
      </c>
      <c r="BD25" s="5">
        <v>43586</v>
      </c>
      <c r="BE25" s="14">
        <f ca="1">IF(ISBLANK($BD25),"",(TODAY()-$BD25)/30)</f>
        <v>10.366666666666667</v>
      </c>
      <c r="BF25" s="29">
        <v>126</v>
      </c>
      <c r="BG25" s="29">
        <v>138</v>
      </c>
      <c r="BH25" s="15">
        <v>138</v>
      </c>
      <c r="BI25" s="28">
        <f>BH25-BG25</f>
        <v>0</v>
      </c>
      <c r="BJ25" s="26">
        <f>(BG25/BF25)-1</f>
        <v>9.5238095238095344E-2</v>
      </c>
    </row>
    <row r="26" spans="1:62">
      <c r="A26" s="1">
        <f>ROW()-2</f>
        <v>24</v>
      </c>
      <c r="B26" s="4" t="s">
        <v>196</v>
      </c>
      <c r="C26" s="15" t="s">
        <v>98</v>
      </c>
      <c r="D26" s="15" t="s">
        <v>196</v>
      </c>
      <c r="E26" s="15" t="s">
        <v>120</v>
      </c>
      <c r="F26" s="7" t="s">
        <v>121</v>
      </c>
      <c r="G26" s="17">
        <f>IF(SUM(O26:AW26)&gt;0,SUM(O26:AW26)+100,0)</f>
        <v>138</v>
      </c>
      <c r="H26" s="14">
        <f>IFERROR(SUM(O26:AW26)/35, "")</f>
        <v>1.0857142857142856</v>
      </c>
      <c r="I26" s="13" t="str">
        <f>IF(H26&gt;=2.8,"Legendary",IF(H26&gt;=2,"Avenger",IF(H26&gt;=1,"Superhero","Hero")))</f>
        <v>Superhero</v>
      </c>
      <c r="J26" s="13" t="s">
        <v>74</v>
      </c>
      <c r="K26" s="13" t="s">
        <v>74</v>
      </c>
      <c r="L26" s="13" t="s">
        <v>75</v>
      </c>
      <c r="M26" s="13" t="s">
        <v>75</v>
      </c>
      <c r="N26" s="13" t="s">
        <v>74</v>
      </c>
      <c r="O26" s="15">
        <v>1</v>
      </c>
      <c r="P26" s="15">
        <v>2</v>
      </c>
      <c r="Q26" s="15">
        <v>0</v>
      </c>
      <c r="R26" s="15">
        <v>0</v>
      </c>
      <c r="S26" s="15">
        <v>1</v>
      </c>
      <c r="T26" s="15">
        <v>2</v>
      </c>
      <c r="U26" s="15">
        <v>2</v>
      </c>
      <c r="V26" s="15">
        <v>2</v>
      </c>
      <c r="W26" s="15">
        <v>1</v>
      </c>
      <c r="X26" s="15">
        <v>1</v>
      </c>
      <c r="Y26" s="15">
        <v>1</v>
      </c>
      <c r="Z26" s="15">
        <v>0</v>
      </c>
      <c r="AA26" s="15">
        <v>2</v>
      </c>
      <c r="AB26" s="15">
        <v>3</v>
      </c>
      <c r="AC26" s="15">
        <v>2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2</v>
      </c>
      <c r="AJ26" s="15">
        <v>2</v>
      </c>
      <c r="AK26" s="15">
        <v>3</v>
      </c>
      <c r="AL26" s="15">
        <v>1</v>
      </c>
      <c r="AM26" s="15">
        <v>1</v>
      </c>
      <c r="AN26" s="13">
        <v>0</v>
      </c>
      <c r="AO26" s="15">
        <v>0</v>
      </c>
      <c r="AP26" s="15">
        <v>0</v>
      </c>
      <c r="AQ26" s="15">
        <v>3</v>
      </c>
      <c r="AR26" s="15">
        <v>2</v>
      </c>
      <c r="AS26" s="15">
        <v>0</v>
      </c>
      <c r="AT26" s="15">
        <v>1</v>
      </c>
      <c r="AU26" s="15">
        <v>1</v>
      </c>
      <c r="AV26" s="15">
        <v>2</v>
      </c>
      <c r="AW26" s="15">
        <v>0</v>
      </c>
      <c r="AX26" s="15" t="s">
        <v>101</v>
      </c>
      <c r="AY26" s="15" t="s">
        <v>122</v>
      </c>
      <c r="AZ26" s="15" t="s">
        <v>197</v>
      </c>
      <c r="BA26" s="15" t="s">
        <v>198</v>
      </c>
      <c r="BB26" s="15" t="s">
        <v>141</v>
      </c>
      <c r="BC26" s="15" t="s">
        <v>104</v>
      </c>
      <c r="BD26" s="5">
        <v>43523</v>
      </c>
      <c r="BE26" s="14">
        <f ca="1">IF(ISBLANK($BD26),"",(TODAY()-$BD26)/30)</f>
        <v>12.466666666666667</v>
      </c>
      <c r="BF26" s="29">
        <v>156</v>
      </c>
      <c r="BG26" s="29">
        <v>138</v>
      </c>
      <c r="BH26" s="15">
        <v>138</v>
      </c>
      <c r="BI26" s="28">
        <f>BH26-BG26</f>
        <v>0</v>
      </c>
    </row>
    <row r="27" spans="1:62">
      <c r="A27" s="1">
        <f>ROW()-2</f>
        <v>25</v>
      </c>
      <c r="B27" s="4" t="s">
        <v>199</v>
      </c>
      <c r="C27" s="15" t="s">
        <v>200</v>
      </c>
      <c r="D27" s="15" t="s">
        <v>199</v>
      </c>
      <c r="E27" s="15" t="s">
        <v>120</v>
      </c>
      <c r="F27" s="7" t="s">
        <v>73</v>
      </c>
      <c r="G27" s="17">
        <f>IF(SUM(O27:AW27)&gt;0,SUM(O27:AW27)+100,0)</f>
        <v>136</v>
      </c>
      <c r="H27" s="14">
        <f>IFERROR(SUM(O27:AW27)/35, "")</f>
        <v>1.0285714285714285</v>
      </c>
      <c r="I27" s="13" t="str">
        <f>IF(H27&gt;=2.8,"Legendary",IF(H27&gt;=2,"Avenger",IF(H27&gt;=1,"Superhero","Hero")))</f>
        <v>Superhero</v>
      </c>
      <c r="J27" s="13" t="s">
        <v>87</v>
      </c>
      <c r="K27" s="13" t="s">
        <v>87</v>
      </c>
      <c r="L27" s="13" t="s">
        <v>75</v>
      </c>
      <c r="M27" s="13" t="s">
        <v>75</v>
      </c>
      <c r="N27" s="13" t="s">
        <v>74</v>
      </c>
      <c r="O27" s="15">
        <v>1</v>
      </c>
      <c r="P27" s="15">
        <v>3</v>
      </c>
      <c r="Q27" s="15">
        <v>2</v>
      </c>
      <c r="R27" s="15">
        <v>1</v>
      </c>
      <c r="S27" s="15">
        <v>1</v>
      </c>
      <c r="T27" s="15">
        <v>1</v>
      </c>
      <c r="U27" s="15">
        <v>2</v>
      </c>
      <c r="V27" s="15">
        <v>3</v>
      </c>
      <c r="W27" s="15">
        <v>0</v>
      </c>
      <c r="X27" s="15">
        <v>1</v>
      </c>
      <c r="Y27" s="15">
        <v>1</v>
      </c>
      <c r="Z27" s="15">
        <v>0</v>
      </c>
      <c r="AA27" s="15">
        <v>2</v>
      </c>
      <c r="AB27" s="15">
        <v>1</v>
      </c>
      <c r="AC27" s="15">
        <v>3</v>
      </c>
      <c r="AD27" s="15">
        <v>0</v>
      </c>
      <c r="AE27" s="15">
        <v>0</v>
      </c>
      <c r="AF27" s="15">
        <v>0</v>
      </c>
      <c r="AG27" s="15">
        <v>1</v>
      </c>
      <c r="AH27" s="15">
        <v>0</v>
      </c>
      <c r="AI27" s="15">
        <v>0</v>
      </c>
      <c r="AJ27" s="15">
        <v>1</v>
      </c>
      <c r="AK27" s="15">
        <v>3</v>
      </c>
      <c r="AL27" s="15">
        <v>3</v>
      </c>
      <c r="AM27" s="15">
        <v>2</v>
      </c>
      <c r="AN27" s="13">
        <v>1</v>
      </c>
      <c r="AO27" s="15">
        <v>0</v>
      </c>
      <c r="AP27" s="15">
        <v>1</v>
      </c>
      <c r="AQ27" s="15">
        <v>0</v>
      </c>
      <c r="AR27" s="15">
        <v>1</v>
      </c>
      <c r="AS27" s="15">
        <v>0</v>
      </c>
      <c r="AT27" s="15">
        <v>1</v>
      </c>
      <c r="AU27" s="15">
        <v>0</v>
      </c>
      <c r="AV27" s="15">
        <v>0</v>
      </c>
      <c r="AW27" s="15">
        <v>0</v>
      </c>
      <c r="AX27" s="15" t="s">
        <v>201</v>
      </c>
      <c r="AY27" s="16" t="s">
        <v>201</v>
      </c>
      <c r="AZ27" s="16"/>
      <c r="BA27" s="16"/>
      <c r="BB27" s="16" t="s">
        <v>202</v>
      </c>
      <c r="BC27" s="15" t="s">
        <v>203</v>
      </c>
      <c r="BD27" s="5">
        <v>43691</v>
      </c>
      <c r="BE27" s="14">
        <f ca="1">IF(ISBLANK($BD27),"",(TODAY()-$BD27)/30)</f>
        <v>6.8666666666666663</v>
      </c>
      <c r="BF27" s="29">
        <v>159</v>
      </c>
      <c r="BG27" s="29">
        <v>136</v>
      </c>
      <c r="BH27" s="15">
        <v>136</v>
      </c>
      <c r="BI27" s="28">
        <f>BH27-BG27</f>
        <v>0</v>
      </c>
      <c r="BJ27" s="26">
        <f>(BG27/BF27)-1</f>
        <v>-0.14465408805031443</v>
      </c>
    </row>
    <row r="28" spans="1:62">
      <c r="A28" s="1">
        <f>ROW()-2</f>
        <v>26</v>
      </c>
      <c r="B28" s="4" t="s">
        <v>204</v>
      </c>
      <c r="C28" s="15" t="s">
        <v>200</v>
      </c>
      <c r="D28" s="15" t="s">
        <v>204</v>
      </c>
      <c r="E28" s="15" t="s">
        <v>120</v>
      </c>
      <c r="F28" s="7" t="s">
        <v>73</v>
      </c>
      <c r="G28" s="17">
        <f>IF(SUM(O28:AW28)&gt;0,SUM(O28:AW28)+100,0)</f>
        <v>136</v>
      </c>
      <c r="H28" s="14">
        <f>IFERROR(SUM(O28:AW28)/35, "")</f>
        <v>1.0285714285714285</v>
      </c>
      <c r="I28" s="13" t="str">
        <f>IF(H28&gt;=2.8,"Legendary",IF(H28&gt;=2,"Avenger",IF(H28&gt;=1,"Superhero","Hero")))</f>
        <v>Superhero</v>
      </c>
      <c r="J28" s="13" t="s">
        <v>87</v>
      </c>
      <c r="K28" s="13" t="s">
        <v>74</v>
      </c>
      <c r="L28" s="13" t="s">
        <v>75</v>
      </c>
      <c r="M28" s="13" t="s">
        <v>75</v>
      </c>
      <c r="N28" s="13" t="s">
        <v>74</v>
      </c>
      <c r="O28" s="15">
        <v>1</v>
      </c>
      <c r="P28" s="15">
        <v>3</v>
      </c>
      <c r="Q28" s="15">
        <v>1</v>
      </c>
      <c r="R28" s="15">
        <v>3</v>
      </c>
      <c r="S28" s="15">
        <v>1</v>
      </c>
      <c r="T28" s="15">
        <v>1</v>
      </c>
      <c r="U28" s="15">
        <v>2</v>
      </c>
      <c r="V28" s="15">
        <v>3</v>
      </c>
      <c r="W28" s="15">
        <v>0</v>
      </c>
      <c r="X28" s="15">
        <v>1</v>
      </c>
      <c r="Y28" s="15">
        <v>1</v>
      </c>
      <c r="Z28" s="15">
        <v>0</v>
      </c>
      <c r="AA28" s="15">
        <v>2</v>
      </c>
      <c r="AB28" s="15">
        <v>1</v>
      </c>
      <c r="AC28" s="15">
        <v>3</v>
      </c>
      <c r="AD28" s="15">
        <v>0</v>
      </c>
      <c r="AE28" s="15">
        <v>0</v>
      </c>
      <c r="AF28" s="15">
        <v>0</v>
      </c>
      <c r="AG28" s="15">
        <v>1</v>
      </c>
      <c r="AH28" s="15">
        <v>0</v>
      </c>
      <c r="AI28" s="15">
        <v>0</v>
      </c>
      <c r="AJ28" s="15">
        <v>1</v>
      </c>
      <c r="AK28" s="15">
        <v>3</v>
      </c>
      <c r="AL28" s="15">
        <v>3</v>
      </c>
      <c r="AM28" s="15">
        <v>2</v>
      </c>
      <c r="AN28" s="13">
        <v>1</v>
      </c>
      <c r="AO28" s="15">
        <v>0</v>
      </c>
      <c r="AP28" s="15">
        <v>1</v>
      </c>
      <c r="AQ28" s="15">
        <v>0</v>
      </c>
      <c r="AR28" s="15">
        <v>0</v>
      </c>
      <c r="AS28" s="15">
        <v>0</v>
      </c>
      <c r="AT28" s="15">
        <v>1</v>
      </c>
      <c r="AU28" s="15">
        <v>0</v>
      </c>
      <c r="AV28" s="15">
        <v>0</v>
      </c>
      <c r="AW28" s="15">
        <v>0</v>
      </c>
      <c r="AX28" s="15" t="s">
        <v>201</v>
      </c>
      <c r="AY28" s="16" t="s">
        <v>201</v>
      </c>
      <c r="AZ28" s="16" t="s">
        <v>201</v>
      </c>
      <c r="BA28" s="16"/>
      <c r="BB28" s="16" t="s">
        <v>202</v>
      </c>
      <c r="BC28" s="15" t="s">
        <v>203</v>
      </c>
      <c r="BD28" s="5">
        <v>43621</v>
      </c>
      <c r="BE28" s="14">
        <f ca="1">IF(ISBLANK($BD28),"",(TODAY()-$BD28)/30)</f>
        <v>9.1999999999999993</v>
      </c>
      <c r="BF28" s="29">
        <v>156</v>
      </c>
      <c r="BG28" s="29">
        <v>136</v>
      </c>
      <c r="BH28" s="15">
        <v>136</v>
      </c>
      <c r="BI28" s="28">
        <f>BH28-BG28</f>
        <v>0</v>
      </c>
    </row>
    <row r="29" spans="1:62">
      <c r="A29" s="1">
        <f>ROW()-2</f>
        <v>27</v>
      </c>
      <c r="B29" s="4" t="s">
        <v>205</v>
      </c>
      <c r="C29" s="15" t="s">
        <v>151</v>
      </c>
      <c r="D29" s="15" t="s">
        <v>206</v>
      </c>
      <c r="E29" s="15" t="s">
        <v>100</v>
      </c>
      <c r="F29" s="7" t="s">
        <v>73</v>
      </c>
      <c r="G29" s="17">
        <f>IF(SUM(O29:AW29)&gt;0,SUM(O29:AW29)+100,0)</f>
        <v>136</v>
      </c>
      <c r="H29" s="14">
        <f>IFERROR(SUM(O29:AW29)/35, "")</f>
        <v>1.0285714285714285</v>
      </c>
      <c r="I29" s="13" t="str">
        <f>IF(H29&gt;=2.8,"Legendary",IF(H29&gt;=2,"Avenger",IF(H29&gt;=1,"Superhero","Hero")))</f>
        <v>Superhero</v>
      </c>
      <c r="J29" s="13" t="s">
        <v>75</v>
      </c>
      <c r="K29" s="13" t="s">
        <v>75</v>
      </c>
      <c r="L29" s="13" t="s">
        <v>75</v>
      </c>
      <c r="M29" s="13" t="s">
        <v>75</v>
      </c>
      <c r="N29" s="13" t="s">
        <v>75</v>
      </c>
      <c r="O29" s="15">
        <v>1</v>
      </c>
      <c r="P29" s="15">
        <v>1</v>
      </c>
      <c r="Q29" s="15">
        <v>1</v>
      </c>
      <c r="R29" s="15">
        <v>0</v>
      </c>
      <c r="S29" s="15">
        <v>1</v>
      </c>
      <c r="T29" s="15">
        <v>1</v>
      </c>
      <c r="U29" s="15">
        <v>2</v>
      </c>
      <c r="V29" s="15">
        <v>0</v>
      </c>
      <c r="W29" s="15">
        <v>1</v>
      </c>
      <c r="X29" s="15">
        <v>2</v>
      </c>
      <c r="Y29" s="15">
        <v>1</v>
      </c>
      <c r="Z29" s="15">
        <v>1</v>
      </c>
      <c r="AA29" s="15">
        <v>2</v>
      </c>
      <c r="AB29" s="15">
        <v>2</v>
      </c>
      <c r="AC29" s="15">
        <v>1</v>
      </c>
      <c r="AD29" s="15">
        <v>1</v>
      </c>
      <c r="AE29" s="15">
        <v>1</v>
      </c>
      <c r="AF29" s="15">
        <v>1</v>
      </c>
      <c r="AG29" s="15">
        <v>1</v>
      </c>
      <c r="AH29" s="15">
        <v>0</v>
      </c>
      <c r="AI29" s="15">
        <v>1</v>
      </c>
      <c r="AJ29" s="15">
        <v>1</v>
      </c>
      <c r="AK29" s="15">
        <v>3</v>
      </c>
      <c r="AL29" s="15">
        <v>1</v>
      </c>
      <c r="AM29" s="15">
        <v>2</v>
      </c>
      <c r="AN29" s="13">
        <v>0</v>
      </c>
      <c r="AO29" s="15">
        <v>1</v>
      </c>
      <c r="AP29" s="15">
        <v>0</v>
      </c>
      <c r="AQ29" s="15">
        <v>1</v>
      </c>
      <c r="AR29" s="15">
        <v>1</v>
      </c>
      <c r="AS29" s="15">
        <v>1</v>
      </c>
      <c r="AT29" s="15">
        <v>1</v>
      </c>
      <c r="AU29" s="15">
        <v>1</v>
      </c>
      <c r="AV29" s="15">
        <v>0</v>
      </c>
      <c r="AW29" s="15">
        <v>1</v>
      </c>
      <c r="AX29" s="15" t="s">
        <v>109</v>
      </c>
      <c r="AY29" s="15" t="s">
        <v>207</v>
      </c>
      <c r="AZ29" s="15" t="s">
        <v>195</v>
      </c>
      <c r="BA29" s="15" t="s">
        <v>156</v>
      </c>
      <c r="BB29" s="15" t="s">
        <v>136</v>
      </c>
      <c r="BC29" s="15" t="s">
        <v>157</v>
      </c>
      <c r="BD29" s="5">
        <v>43586</v>
      </c>
      <c r="BE29" s="14">
        <f ca="1">IF(ISBLANK($BD29),"",(TODAY()-$BD29)/30)</f>
        <v>10.366666666666667</v>
      </c>
      <c r="BF29" s="29">
        <v>126</v>
      </c>
      <c r="BG29" s="29">
        <v>136</v>
      </c>
      <c r="BH29" s="15">
        <v>136</v>
      </c>
      <c r="BI29" s="28">
        <f>BH29-BG29</f>
        <v>0</v>
      </c>
    </row>
    <row r="30" spans="1:62">
      <c r="A30" s="1">
        <f>ROW()-2</f>
        <v>28</v>
      </c>
      <c r="B30" s="4" t="s">
        <v>208</v>
      </c>
      <c r="C30" s="15" t="s">
        <v>151</v>
      </c>
      <c r="D30" s="15" t="s">
        <v>209</v>
      </c>
      <c r="E30" s="15" t="s">
        <v>100</v>
      </c>
      <c r="F30" s="7" t="s">
        <v>73</v>
      </c>
      <c r="G30" s="17">
        <f>IF(SUM(O30:AW30)&gt;0,SUM(O30:AW30)+100,0)</f>
        <v>136</v>
      </c>
      <c r="H30" s="14">
        <f>IFERROR(SUM(O30:AW30)/35, "")</f>
        <v>1.0285714285714285</v>
      </c>
      <c r="I30" s="13" t="str">
        <f>IF(H30&gt;=2.8,"Legendary",IF(H30&gt;=2,"Avenger",IF(H30&gt;=1,"Superhero","Hero")))</f>
        <v>Superhero</v>
      </c>
      <c r="J30" s="13" t="s">
        <v>75</v>
      </c>
      <c r="K30" s="13" t="s">
        <v>75</v>
      </c>
      <c r="L30" s="13" t="s">
        <v>75</v>
      </c>
      <c r="M30" s="13" t="s">
        <v>75</v>
      </c>
      <c r="N30" s="13" t="s">
        <v>75</v>
      </c>
      <c r="O30" s="15">
        <v>1</v>
      </c>
      <c r="P30" s="15">
        <v>1</v>
      </c>
      <c r="Q30" s="15">
        <v>1</v>
      </c>
      <c r="R30" s="15">
        <v>0</v>
      </c>
      <c r="S30" s="15">
        <v>1</v>
      </c>
      <c r="T30" s="15">
        <v>1</v>
      </c>
      <c r="U30" s="15">
        <v>2</v>
      </c>
      <c r="V30" s="15">
        <v>0</v>
      </c>
      <c r="W30" s="15">
        <v>1</v>
      </c>
      <c r="X30" s="15">
        <v>2</v>
      </c>
      <c r="Y30" s="15">
        <v>1</v>
      </c>
      <c r="Z30" s="15">
        <v>1</v>
      </c>
      <c r="AA30" s="15">
        <v>3</v>
      </c>
      <c r="AB30" s="15">
        <v>2</v>
      </c>
      <c r="AC30" s="15">
        <v>1</v>
      </c>
      <c r="AD30" s="15">
        <v>2</v>
      </c>
      <c r="AE30" s="15">
        <v>1</v>
      </c>
      <c r="AF30" s="15">
        <v>0</v>
      </c>
      <c r="AG30" s="15">
        <v>1</v>
      </c>
      <c r="AH30" s="15">
        <v>0</v>
      </c>
      <c r="AI30" s="15">
        <v>1</v>
      </c>
      <c r="AJ30" s="15">
        <v>1</v>
      </c>
      <c r="AK30" s="15">
        <v>3</v>
      </c>
      <c r="AL30" s="15">
        <v>1</v>
      </c>
      <c r="AM30" s="15">
        <v>1</v>
      </c>
      <c r="AN30" s="13">
        <v>1</v>
      </c>
      <c r="AO30" s="15">
        <v>0</v>
      </c>
      <c r="AP30" s="15">
        <v>0</v>
      </c>
      <c r="AQ30" s="15">
        <v>1</v>
      </c>
      <c r="AR30" s="15">
        <v>1</v>
      </c>
      <c r="AS30" s="15">
        <v>1</v>
      </c>
      <c r="AT30" s="15">
        <v>1</v>
      </c>
      <c r="AU30" s="15">
        <v>1</v>
      </c>
      <c r="AV30" s="15">
        <v>0</v>
      </c>
      <c r="AW30" s="15">
        <v>1</v>
      </c>
      <c r="AX30" s="15" t="s">
        <v>109</v>
      </c>
      <c r="AY30" s="15" t="s">
        <v>210</v>
      </c>
      <c r="AZ30" s="15" t="s">
        <v>210</v>
      </c>
      <c r="BA30" s="15" t="s">
        <v>156</v>
      </c>
      <c r="BB30" s="15" t="s">
        <v>136</v>
      </c>
      <c r="BC30" s="15" t="s">
        <v>157</v>
      </c>
      <c r="BD30" s="5">
        <v>43586</v>
      </c>
      <c r="BE30" s="14">
        <f ca="1">IF(ISBLANK($BD30),"",(TODAY()-$BD30)/30)</f>
        <v>10.366666666666667</v>
      </c>
      <c r="BF30" s="29">
        <v>126</v>
      </c>
      <c r="BG30" s="29">
        <v>136</v>
      </c>
      <c r="BH30" s="15">
        <v>136</v>
      </c>
      <c r="BI30" s="28">
        <f>BH30-BG30</f>
        <v>0</v>
      </c>
      <c r="BJ30" s="26">
        <f>(BG30/BF30)-1</f>
        <v>7.9365079365079305E-2</v>
      </c>
    </row>
    <row r="31" spans="1:62">
      <c r="A31" s="1">
        <f>ROW()-2</f>
        <v>29</v>
      </c>
      <c r="B31" s="4" t="s">
        <v>211</v>
      </c>
      <c r="C31" s="15" t="s">
        <v>211</v>
      </c>
      <c r="D31" s="15" t="s">
        <v>115</v>
      </c>
      <c r="E31" s="15" t="s">
        <v>86</v>
      </c>
      <c r="F31" s="7" t="s">
        <v>73</v>
      </c>
      <c r="G31" s="17">
        <f>IF(SUM(O31:AW31)&gt;0,SUM(O31:AW31)+100,0)</f>
        <v>134</v>
      </c>
      <c r="H31" s="14">
        <f>IFERROR(SUM(O31:AW31)/35, "")</f>
        <v>0.97142857142857142</v>
      </c>
      <c r="I31" s="13" t="str">
        <f>IF(H31&gt;=2.8,"Legendary",IF(H31&gt;=2,"Avenger",IF(H31&gt;=1,"Superhero","Hero")))</f>
        <v>Hero</v>
      </c>
      <c r="J31" s="13" t="s">
        <v>87</v>
      </c>
      <c r="K31" s="13" t="s">
        <v>74</v>
      </c>
      <c r="L31" s="13" t="s">
        <v>75</v>
      </c>
      <c r="M31" s="13" t="s">
        <v>75</v>
      </c>
      <c r="N31" s="13" t="s">
        <v>75</v>
      </c>
      <c r="O31" s="15">
        <v>1</v>
      </c>
      <c r="P31" s="15">
        <v>1</v>
      </c>
      <c r="Q31" s="15">
        <v>2</v>
      </c>
      <c r="R31" s="15">
        <v>1</v>
      </c>
      <c r="S31" s="15">
        <v>1</v>
      </c>
      <c r="T31" s="15">
        <v>1</v>
      </c>
      <c r="U31" s="15">
        <v>1</v>
      </c>
      <c r="V31" s="15">
        <v>1</v>
      </c>
      <c r="W31" s="15">
        <v>1</v>
      </c>
      <c r="X31" s="15">
        <v>2</v>
      </c>
      <c r="Y31" s="15">
        <v>0</v>
      </c>
      <c r="Z31" s="15">
        <v>0</v>
      </c>
      <c r="AA31" s="15">
        <v>2</v>
      </c>
      <c r="AB31" s="15">
        <v>2</v>
      </c>
      <c r="AC31" s="15">
        <v>2</v>
      </c>
      <c r="AD31" s="15">
        <v>0</v>
      </c>
      <c r="AE31" s="15">
        <v>1</v>
      </c>
      <c r="AF31" s="15">
        <v>1</v>
      </c>
      <c r="AG31" s="15">
        <v>1</v>
      </c>
      <c r="AH31" s="15">
        <v>0</v>
      </c>
      <c r="AI31" s="15">
        <v>0</v>
      </c>
      <c r="AJ31" s="15">
        <v>0</v>
      </c>
      <c r="AK31" s="15">
        <v>3</v>
      </c>
      <c r="AL31" s="15">
        <v>3</v>
      </c>
      <c r="AM31" s="15">
        <v>1</v>
      </c>
      <c r="AN31" s="13">
        <v>2</v>
      </c>
      <c r="AO31" s="15">
        <v>0</v>
      </c>
      <c r="AP31" s="15">
        <v>0</v>
      </c>
      <c r="AQ31" s="15">
        <v>0</v>
      </c>
      <c r="AR31" s="15">
        <v>1</v>
      </c>
      <c r="AS31" s="15">
        <v>0</v>
      </c>
      <c r="AT31" s="15">
        <v>2</v>
      </c>
      <c r="AU31" s="15">
        <v>1</v>
      </c>
      <c r="AV31" s="15">
        <v>0</v>
      </c>
      <c r="AW31" s="15">
        <v>0</v>
      </c>
      <c r="AX31" s="15" t="s">
        <v>88</v>
      </c>
      <c r="AY31" s="15" t="s">
        <v>212</v>
      </c>
      <c r="AZ31" s="15" t="s">
        <v>213</v>
      </c>
      <c r="BA31" s="15" t="s">
        <v>214</v>
      </c>
      <c r="BB31" s="15" t="s">
        <v>118</v>
      </c>
      <c r="BC31" s="15" t="s">
        <v>215</v>
      </c>
      <c r="BD31" s="5">
        <v>43586</v>
      </c>
      <c r="BE31" s="14">
        <f ca="1">IF(ISBLANK($BD31),"",(TODAY()-$BD31)/30)</f>
        <v>10.366666666666667</v>
      </c>
      <c r="BF31" s="29">
        <v>136</v>
      </c>
      <c r="BG31" s="29">
        <v>134</v>
      </c>
      <c r="BH31" s="15">
        <v>134</v>
      </c>
      <c r="BI31" s="28">
        <f>BH31-BG31</f>
        <v>0</v>
      </c>
    </row>
    <row r="32" spans="1:62">
      <c r="A32" s="1">
        <f>ROW()-2</f>
        <v>30</v>
      </c>
      <c r="B32" s="4" t="s">
        <v>216</v>
      </c>
      <c r="C32" s="15" t="s">
        <v>151</v>
      </c>
      <c r="D32" s="15" t="s">
        <v>217</v>
      </c>
      <c r="E32" s="15" t="s">
        <v>100</v>
      </c>
      <c r="F32" s="7" t="s">
        <v>73</v>
      </c>
      <c r="G32" s="17">
        <f>IF(SUM(O32:AW32)&gt;0,SUM(O32:AW32)+100,0)</f>
        <v>134</v>
      </c>
      <c r="H32" s="14">
        <f>IFERROR(SUM(O32:AW32)/35, "")</f>
        <v>0.97142857142857142</v>
      </c>
      <c r="I32" s="13" t="str">
        <f>IF(H32&gt;=2.8,"Legendary",IF(H32&gt;=2,"Avenger",IF(H32&gt;=1,"Superhero","Hero")))</f>
        <v>Hero</v>
      </c>
      <c r="J32" s="13" t="s">
        <v>75</v>
      </c>
      <c r="K32" s="13" t="s">
        <v>75</v>
      </c>
      <c r="L32" s="13" t="s">
        <v>75</v>
      </c>
      <c r="M32" s="13" t="s">
        <v>75</v>
      </c>
      <c r="N32" s="13" t="s">
        <v>75</v>
      </c>
      <c r="O32" s="15">
        <v>1</v>
      </c>
      <c r="P32" s="15">
        <v>1</v>
      </c>
      <c r="Q32" s="15">
        <v>1</v>
      </c>
      <c r="R32" s="15">
        <v>0</v>
      </c>
      <c r="S32" s="15">
        <v>1</v>
      </c>
      <c r="T32" s="15">
        <v>1</v>
      </c>
      <c r="U32" s="15">
        <v>2</v>
      </c>
      <c r="V32" s="15">
        <v>0</v>
      </c>
      <c r="W32" s="15">
        <v>1</v>
      </c>
      <c r="X32" s="15">
        <v>1</v>
      </c>
      <c r="Y32" s="15">
        <v>1</v>
      </c>
      <c r="Z32" s="15">
        <v>1</v>
      </c>
      <c r="AA32" s="15">
        <v>2</v>
      </c>
      <c r="AB32" s="15">
        <v>2</v>
      </c>
      <c r="AC32" s="15">
        <v>1</v>
      </c>
      <c r="AD32" s="15">
        <v>2</v>
      </c>
      <c r="AE32" s="15">
        <v>2</v>
      </c>
      <c r="AF32" s="15">
        <v>1</v>
      </c>
      <c r="AG32" s="15">
        <v>1</v>
      </c>
      <c r="AH32" s="15">
        <v>0</v>
      </c>
      <c r="AI32" s="15">
        <v>1</v>
      </c>
      <c r="AJ32" s="15">
        <v>1</v>
      </c>
      <c r="AK32" s="15">
        <v>3</v>
      </c>
      <c r="AL32" s="15">
        <v>1</v>
      </c>
      <c r="AM32" s="15">
        <v>1</v>
      </c>
      <c r="AN32" s="13">
        <v>0</v>
      </c>
      <c r="AO32" s="15">
        <v>0</v>
      </c>
      <c r="AP32" s="15">
        <v>0</v>
      </c>
      <c r="AQ32" s="15">
        <v>1</v>
      </c>
      <c r="AR32" s="15">
        <v>1</v>
      </c>
      <c r="AS32" s="15">
        <v>1</v>
      </c>
      <c r="AT32" s="15">
        <v>0</v>
      </c>
      <c r="AU32" s="15">
        <v>1</v>
      </c>
      <c r="AV32" s="15">
        <v>0</v>
      </c>
      <c r="AW32" s="15">
        <v>1</v>
      </c>
      <c r="AX32" s="15" t="s">
        <v>109</v>
      </c>
      <c r="AY32" s="15" t="s">
        <v>218</v>
      </c>
      <c r="AZ32" s="15" t="s">
        <v>219</v>
      </c>
      <c r="BA32" s="15" t="s">
        <v>156</v>
      </c>
      <c r="BB32" s="15" t="s">
        <v>136</v>
      </c>
      <c r="BC32" s="15" t="s">
        <v>157</v>
      </c>
      <c r="BD32" s="5">
        <v>43586</v>
      </c>
      <c r="BE32" s="14">
        <f ca="1">IF(ISBLANK($BD32),"",(TODAY()-$BD32)/30)</f>
        <v>10.366666666666667</v>
      </c>
      <c r="BF32" s="29">
        <v>126</v>
      </c>
      <c r="BG32" s="29">
        <v>134</v>
      </c>
      <c r="BH32" s="15">
        <v>134</v>
      </c>
      <c r="BI32" s="28">
        <f>BH32-BG32</f>
        <v>0</v>
      </c>
      <c r="BJ32" s="26">
        <f>(BG32/BF32)-1</f>
        <v>6.3492063492063489E-2</v>
      </c>
    </row>
    <row r="33" spans="1:62">
      <c r="A33" s="1">
        <f>ROW()-2</f>
        <v>31</v>
      </c>
      <c r="B33" s="4" t="s">
        <v>220</v>
      </c>
      <c r="C33" s="15" t="s">
        <v>151</v>
      </c>
      <c r="D33" s="15" t="s">
        <v>221</v>
      </c>
      <c r="E33" s="15" t="s">
        <v>100</v>
      </c>
      <c r="F33" s="7" t="s">
        <v>73</v>
      </c>
      <c r="G33" s="17">
        <f>IF(SUM(O33:AW33)&gt;0,SUM(O33:AW33)+100,0)</f>
        <v>134</v>
      </c>
      <c r="H33" s="14">
        <f>IFERROR(SUM(O33:AW33)/35, "")</f>
        <v>0.97142857142857142</v>
      </c>
      <c r="I33" s="13" t="str">
        <f>IF(H33&gt;=2.8,"Legendary",IF(H33&gt;=2,"Avenger",IF(H33&gt;=1,"Superhero","Hero")))</f>
        <v>Hero</v>
      </c>
      <c r="J33" s="13" t="s">
        <v>75</v>
      </c>
      <c r="K33" s="13" t="s">
        <v>75</v>
      </c>
      <c r="L33" s="13" t="s">
        <v>75</v>
      </c>
      <c r="M33" s="13" t="s">
        <v>75</v>
      </c>
      <c r="N33" s="13" t="s">
        <v>75</v>
      </c>
      <c r="O33" s="15">
        <v>1</v>
      </c>
      <c r="P33" s="15">
        <v>1</v>
      </c>
      <c r="Q33" s="15">
        <v>1</v>
      </c>
      <c r="R33" s="15">
        <v>0</v>
      </c>
      <c r="S33" s="15">
        <v>1</v>
      </c>
      <c r="T33" s="15">
        <v>1</v>
      </c>
      <c r="U33" s="15">
        <v>2</v>
      </c>
      <c r="V33" s="15">
        <v>0</v>
      </c>
      <c r="W33" s="15">
        <v>1</v>
      </c>
      <c r="X33" s="15">
        <v>2</v>
      </c>
      <c r="Y33" s="15">
        <v>1</v>
      </c>
      <c r="Z33" s="15">
        <v>1</v>
      </c>
      <c r="AA33" s="15">
        <v>2</v>
      </c>
      <c r="AB33" s="15">
        <v>2</v>
      </c>
      <c r="AC33" s="15">
        <v>1</v>
      </c>
      <c r="AD33" s="15">
        <v>1</v>
      </c>
      <c r="AE33" s="15">
        <v>1</v>
      </c>
      <c r="AF33" s="15">
        <v>1</v>
      </c>
      <c r="AG33" s="15">
        <v>1</v>
      </c>
      <c r="AH33" s="15">
        <v>0</v>
      </c>
      <c r="AI33" s="15">
        <v>1</v>
      </c>
      <c r="AJ33" s="15">
        <v>1</v>
      </c>
      <c r="AK33" s="15">
        <v>3</v>
      </c>
      <c r="AL33" s="15">
        <v>1</v>
      </c>
      <c r="AM33" s="15">
        <v>1</v>
      </c>
      <c r="AN33" s="13">
        <v>0</v>
      </c>
      <c r="AO33" s="15">
        <v>1</v>
      </c>
      <c r="AP33" s="15">
        <v>0</v>
      </c>
      <c r="AQ33" s="15">
        <v>1</v>
      </c>
      <c r="AR33" s="15">
        <v>1</v>
      </c>
      <c r="AS33" s="15">
        <v>0</v>
      </c>
      <c r="AT33" s="15">
        <v>1</v>
      </c>
      <c r="AU33" s="15">
        <v>1</v>
      </c>
      <c r="AV33" s="15">
        <v>0</v>
      </c>
      <c r="AW33" s="15">
        <v>1</v>
      </c>
      <c r="AX33" s="15" t="s">
        <v>109</v>
      </c>
      <c r="AY33" s="15" t="s">
        <v>222</v>
      </c>
      <c r="AZ33" s="15" t="s">
        <v>195</v>
      </c>
      <c r="BA33" s="15" t="s">
        <v>156</v>
      </c>
      <c r="BB33" s="15" t="s">
        <v>136</v>
      </c>
      <c r="BC33" s="15" t="s">
        <v>157</v>
      </c>
      <c r="BD33" s="5">
        <v>43586</v>
      </c>
      <c r="BE33" s="14">
        <f ca="1">IF(ISBLANK($BD33),"",(TODAY()-$BD33)/30)</f>
        <v>10.366666666666667</v>
      </c>
      <c r="BF33" s="29">
        <v>126</v>
      </c>
      <c r="BG33" s="29">
        <v>134</v>
      </c>
      <c r="BH33" s="15">
        <v>134</v>
      </c>
      <c r="BI33" s="28">
        <f>BH33-BG33</f>
        <v>0</v>
      </c>
    </row>
    <row r="34" spans="1:62">
      <c r="A34" s="1">
        <f>ROW()-2</f>
        <v>32</v>
      </c>
      <c r="B34" s="4" t="s">
        <v>223</v>
      </c>
      <c r="C34" s="15" t="s">
        <v>98</v>
      </c>
      <c r="D34" s="15" t="s">
        <v>224</v>
      </c>
      <c r="E34" s="15" t="s">
        <v>72</v>
      </c>
      <c r="F34" s="7" t="s">
        <v>73</v>
      </c>
      <c r="G34" s="17">
        <f>IF(SUM(O34:AW34)&gt;0,SUM(O34:AW34)+100,0)</f>
        <v>134</v>
      </c>
      <c r="H34" s="14">
        <f>IFERROR(SUM(O34:AW34)/35, "")</f>
        <v>0.97142857142857142</v>
      </c>
      <c r="I34" s="13" t="str">
        <f>IF(H34&gt;=2.8,"Legendary",IF(H34&gt;=2,"Avenger",IF(H34&gt;=1,"Superhero","Hero")))</f>
        <v>Hero</v>
      </c>
      <c r="J34" s="13" t="s">
        <v>75</v>
      </c>
      <c r="K34" s="13" t="s">
        <v>75</v>
      </c>
      <c r="L34" s="13" t="s">
        <v>75</v>
      </c>
      <c r="M34" s="13" t="s">
        <v>75</v>
      </c>
      <c r="N34" s="13" t="s">
        <v>74</v>
      </c>
      <c r="O34" s="15">
        <v>1</v>
      </c>
      <c r="P34" s="15">
        <v>2</v>
      </c>
      <c r="Q34" s="15">
        <v>1</v>
      </c>
      <c r="R34" s="15">
        <v>0</v>
      </c>
      <c r="S34" s="15">
        <v>1</v>
      </c>
      <c r="T34" s="15">
        <v>2</v>
      </c>
      <c r="U34" s="15">
        <v>3</v>
      </c>
      <c r="V34" s="15">
        <v>2</v>
      </c>
      <c r="W34" s="15">
        <v>1</v>
      </c>
      <c r="X34" s="15">
        <v>2</v>
      </c>
      <c r="Y34" s="15">
        <v>1</v>
      </c>
      <c r="Z34" s="15">
        <v>1</v>
      </c>
      <c r="AA34" s="15">
        <v>1</v>
      </c>
      <c r="AB34" s="15">
        <v>2</v>
      </c>
      <c r="AC34" s="15">
        <v>1</v>
      </c>
      <c r="AD34" s="15">
        <v>0</v>
      </c>
      <c r="AE34" s="15">
        <v>0</v>
      </c>
      <c r="AF34" s="15">
        <v>1</v>
      </c>
      <c r="AG34" s="15">
        <v>1</v>
      </c>
      <c r="AH34" s="15">
        <v>1</v>
      </c>
      <c r="AI34" s="15">
        <v>1</v>
      </c>
      <c r="AJ34" s="15">
        <v>1</v>
      </c>
      <c r="AK34" s="15">
        <v>3</v>
      </c>
      <c r="AL34" s="15">
        <v>3</v>
      </c>
      <c r="AM34" s="15">
        <v>1</v>
      </c>
      <c r="AN34" s="13">
        <v>0</v>
      </c>
      <c r="AO34" s="15">
        <v>0</v>
      </c>
      <c r="AP34" s="15">
        <v>0</v>
      </c>
      <c r="AQ34" s="15">
        <v>0</v>
      </c>
      <c r="AR34" s="15">
        <v>1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 t="s">
        <v>76</v>
      </c>
      <c r="AY34" s="15" t="s">
        <v>225</v>
      </c>
      <c r="AZ34" s="15" t="s">
        <v>226</v>
      </c>
      <c r="BA34" s="15" t="s">
        <v>227</v>
      </c>
      <c r="BB34" s="15" t="s">
        <v>228</v>
      </c>
      <c r="BC34" s="15" t="s">
        <v>104</v>
      </c>
      <c r="BD34" s="5">
        <v>43481</v>
      </c>
      <c r="BE34" s="14">
        <f ca="1">IF(ISBLANK($BD34),"",(TODAY()-$BD34)/30)</f>
        <v>13.866666666666667</v>
      </c>
      <c r="BF34" s="29">
        <v>129</v>
      </c>
      <c r="BG34" s="29">
        <v>134</v>
      </c>
      <c r="BH34" s="15">
        <v>134</v>
      </c>
      <c r="BI34" s="28">
        <f>BH34-BG34</f>
        <v>0</v>
      </c>
      <c r="BJ34" s="26">
        <f>(BG34/BF34)-1</f>
        <v>3.8759689922480689E-2</v>
      </c>
    </row>
    <row r="35" spans="1:62">
      <c r="A35" s="1">
        <f>ROW()-2</f>
        <v>33</v>
      </c>
      <c r="B35" s="4" t="s">
        <v>229</v>
      </c>
      <c r="C35" s="15" t="s">
        <v>230</v>
      </c>
      <c r="D35" s="15" t="s">
        <v>115</v>
      </c>
      <c r="E35" s="15" t="s">
        <v>231</v>
      </c>
      <c r="F35" s="7" t="s">
        <v>73</v>
      </c>
      <c r="G35" s="17">
        <f>IF(SUM(O35:AW35)&gt;0,SUM(O35:AW35)+100,0)</f>
        <v>133</v>
      </c>
      <c r="H35" s="14">
        <f>IFERROR(SUM(O35:AW35)/35, "")</f>
        <v>0.94285714285714284</v>
      </c>
      <c r="I35" s="13" t="str">
        <f>IF(H35&gt;=2.8,"Legendary",IF(H35&gt;=2,"Avenger",IF(H35&gt;=1,"Superhero","Hero")))</f>
        <v>Hero</v>
      </c>
      <c r="J35" s="13" t="s">
        <v>74</v>
      </c>
      <c r="K35" s="13" t="s">
        <v>74</v>
      </c>
      <c r="L35" s="13" t="s">
        <v>75</v>
      </c>
      <c r="M35" s="13" t="s">
        <v>75</v>
      </c>
      <c r="N35" s="13" t="s">
        <v>75</v>
      </c>
      <c r="O35" s="15">
        <v>1</v>
      </c>
      <c r="P35" s="15">
        <v>2</v>
      </c>
      <c r="Q35" s="15">
        <v>2</v>
      </c>
      <c r="R35" s="15">
        <v>3</v>
      </c>
      <c r="S35" s="15">
        <v>1</v>
      </c>
      <c r="T35" s="15">
        <v>2</v>
      </c>
      <c r="U35" s="15">
        <v>2</v>
      </c>
      <c r="V35" s="15">
        <v>2</v>
      </c>
      <c r="W35" s="15">
        <v>1</v>
      </c>
      <c r="X35" s="15">
        <v>3</v>
      </c>
      <c r="Y35" s="15">
        <v>0</v>
      </c>
      <c r="Z35" s="15">
        <v>0</v>
      </c>
      <c r="AA35" s="15">
        <v>0</v>
      </c>
      <c r="AB35" s="15">
        <v>0</v>
      </c>
      <c r="AC35" s="15">
        <v>3</v>
      </c>
      <c r="AD35" s="15">
        <v>1</v>
      </c>
      <c r="AE35" s="15">
        <v>1</v>
      </c>
      <c r="AF35" s="15">
        <v>1</v>
      </c>
      <c r="AG35" s="15">
        <v>1</v>
      </c>
      <c r="AH35" s="15">
        <v>0</v>
      </c>
      <c r="AI35" s="15">
        <v>0</v>
      </c>
      <c r="AJ35" s="15">
        <v>1</v>
      </c>
      <c r="AK35" s="15">
        <v>0</v>
      </c>
      <c r="AL35" s="15">
        <v>1</v>
      </c>
      <c r="AM35" s="15">
        <v>0</v>
      </c>
      <c r="AN35" s="13">
        <v>0</v>
      </c>
      <c r="AO35" s="15">
        <v>0</v>
      </c>
      <c r="AP35" s="15">
        <v>0</v>
      </c>
      <c r="AQ35" s="15">
        <v>0</v>
      </c>
      <c r="AR35" s="15">
        <v>1</v>
      </c>
      <c r="AS35" s="15">
        <v>1</v>
      </c>
      <c r="AT35" s="15">
        <v>2</v>
      </c>
      <c r="AU35" s="15">
        <v>1</v>
      </c>
      <c r="AV35" s="15">
        <v>0</v>
      </c>
      <c r="AW35" s="15">
        <v>0</v>
      </c>
      <c r="AX35" s="15" t="s">
        <v>232</v>
      </c>
      <c r="AY35" s="16" t="s">
        <v>233</v>
      </c>
      <c r="AZ35" s="16" t="s">
        <v>234</v>
      </c>
      <c r="BA35" s="15" t="s">
        <v>235</v>
      </c>
      <c r="BB35" s="15" t="s">
        <v>236</v>
      </c>
      <c r="BC35" s="15" t="s">
        <v>235</v>
      </c>
      <c r="BD35" s="5">
        <v>43801</v>
      </c>
      <c r="BE35" s="14">
        <f ca="1">IF(ISBLANK($BD35),"",(TODAY()-$BD35)/30)</f>
        <v>3.2</v>
      </c>
      <c r="BF35" s="29">
        <v>128</v>
      </c>
      <c r="BG35" s="29">
        <v>129</v>
      </c>
      <c r="BH35" s="15">
        <v>133</v>
      </c>
      <c r="BI35" s="28">
        <f>BH35-BG35</f>
        <v>4</v>
      </c>
    </row>
    <row r="36" spans="1:62">
      <c r="A36" s="1">
        <f>ROW()-2</f>
        <v>34</v>
      </c>
      <c r="B36" s="4" t="s">
        <v>237</v>
      </c>
      <c r="C36" s="15" t="s">
        <v>238</v>
      </c>
      <c r="D36" s="15"/>
      <c r="E36" s="15" t="s">
        <v>72</v>
      </c>
      <c r="F36" s="7" t="s">
        <v>73</v>
      </c>
      <c r="G36" s="17">
        <f>IF(SUM(O36:AW36)&gt;0,SUM(O36:AW36)+100,0)</f>
        <v>133</v>
      </c>
      <c r="H36" s="14">
        <f>IFERROR(SUM(O36:AW36)/35, "")</f>
        <v>0.94285714285714284</v>
      </c>
      <c r="I36" s="13" t="str">
        <f>IF(H36&gt;=2.8,"Legendary",IF(H36&gt;=2,"Avenger",IF(H36&gt;=1,"Superhero","Hero")))</f>
        <v>Hero</v>
      </c>
      <c r="J36" s="13" t="s">
        <v>75</v>
      </c>
      <c r="K36" s="13" t="s">
        <v>74</v>
      </c>
      <c r="L36" s="13" t="s">
        <v>75</v>
      </c>
      <c r="M36" s="13" t="s">
        <v>75</v>
      </c>
      <c r="N36" s="13" t="s">
        <v>74</v>
      </c>
      <c r="O36" s="15">
        <v>1</v>
      </c>
      <c r="P36" s="15">
        <v>1</v>
      </c>
      <c r="Q36" s="15">
        <v>2</v>
      </c>
      <c r="R36" s="15">
        <v>0</v>
      </c>
      <c r="S36" s="15">
        <v>2</v>
      </c>
      <c r="T36" s="15">
        <v>2</v>
      </c>
      <c r="U36" s="15">
        <v>2</v>
      </c>
      <c r="V36" s="15">
        <v>1</v>
      </c>
      <c r="W36" s="15">
        <v>1</v>
      </c>
      <c r="X36" s="15">
        <v>2</v>
      </c>
      <c r="Y36" s="15">
        <v>1</v>
      </c>
      <c r="Z36" s="15">
        <v>1</v>
      </c>
      <c r="AA36" s="15">
        <v>1</v>
      </c>
      <c r="AB36" s="15">
        <v>1</v>
      </c>
      <c r="AC36" s="15">
        <v>1</v>
      </c>
      <c r="AD36" s="15">
        <v>1</v>
      </c>
      <c r="AE36" s="15">
        <v>1</v>
      </c>
      <c r="AF36" s="15">
        <v>1</v>
      </c>
      <c r="AG36" s="15">
        <v>1</v>
      </c>
      <c r="AH36" s="15">
        <v>1</v>
      </c>
      <c r="AI36" s="15">
        <v>1</v>
      </c>
      <c r="AJ36" s="15">
        <v>1</v>
      </c>
      <c r="AK36" s="15">
        <v>3</v>
      </c>
      <c r="AL36" s="15">
        <v>1</v>
      </c>
      <c r="AM36" s="15">
        <v>1</v>
      </c>
      <c r="AN36" s="13">
        <v>0</v>
      </c>
      <c r="AO36" s="15">
        <v>0</v>
      </c>
      <c r="AP36" s="15">
        <v>0</v>
      </c>
      <c r="AQ36" s="15">
        <v>1</v>
      </c>
      <c r="AR36" s="15">
        <v>1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 t="s">
        <v>76</v>
      </c>
      <c r="AY36" s="15" t="s">
        <v>239</v>
      </c>
      <c r="AZ36" s="15"/>
      <c r="BA36" s="15"/>
      <c r="BB36" s="15" t="s">
        <v>240</v>
      </c>
      <c r="BC36" s="15" t="s">
        <v>241</v>
      </c>
      <c r="BD36" s="5">
        <v>43466</v>
      </c>
      <c r="BE36" s="14">
        <f ca="1">IF(ISBLANK($BD36),"",(TODAY()-$BD36)/30)</f>
        <v>14.366666666666667</v>
      </c>
      <c r="BF36" s="29">
        <v>138</v>
      </c>
      <c r="BG36" s="29">
        <v>133</v>
      </c>
      <c r="BH36" s="15">
        <v>133</v>
      </c>
      <c r="BI36" s="28">
        <f>BH36-BG36</f>
        <v>0</v>
      </c>
    </row>
    <row r="37" spans="1:62">
      <c r="A37" s="1">
        <f>ROW()-2</f>
        <v>35</v>
      </c>
      <c r="B37" s="4" t="s">
        <v>242</v>
      </c>
      <c r="C37" s="15" t="s">
        <v>200</v>
      </c>
      <c r="D37" s="15" t="s">
        <v>242</v>
      </c>
      <c r="E37" s="15" t="s">
        <v>120</v>
      </c>
      <c r="F37" s="7" t="s">
        <v>73</v>
      </c>
      <c r="G37" s="17">
        <f>IF(SUM(O37:AW37)&gt;0,SUM(O37:AW37)+100,0)</f>
        <v>131</v>
      </c>
      <c r="H37" s="14">
        <f>IFERROR(SUM(O37:AW37)/35, "")</f>
        <v>0.88571428571428568</v>
      </c>
      <c r="I37" s="13" t="str">
        <f>IF(H37&gt;=2.8,"Legendary",IF(H37&gt;=2,"Avenger",IF(H37&gt;=1,"Superhero","Hero")))</f>
        <v>Hero</v>
      </c>
      <c r="J37" s="13" t="s">
        <v>87</v>
      </c>
      <c r="K37" s="13" t="s">
        <v>87</v>
      </c>
      <c r="L37" s="13" t="s">
        <v>75</v>
      </c>
      <c r="M37" s="13" t="s">
        <v>75</v>
      </c>
      <c r="N37" s="13" t="s">
        <v>74</v>
      </c>
      <c r="O37" s="15">
        <v>0</v>
      </c>
      <c r="P37" s="15">
        <v>2</v>
      </c>
      <c r="Q37" s="15">
        <v>0</v>
      </c>
      <c r="R37" s="15">
        <v>1</v>
      </c>
      <c r="S37" s="15">
        <v>1</v>
      </c>
      <c r="T37" s="15">
        <v>1</v>
      </c>
      <c r="U37" s="15">
        <v>2</v>
      </c>
      <c r="V37" s="15">
        <v>3</v>
      </c>
      <c r="W37" s="15">
        <v>0</v>
      </c>
      <c r="X37" s="15">
        <v>1</v>
      </c>
      <c r="Y37" s="15">
        <v>1</v>
      </c>
      <c r="Z37" s="15">
        <v>0</v>
      </c>
      <c r="AA37" s="15">
        <v>2</v>
      </c>
      <c r="AB37" s="15">
        <v>1</v>
      </c>
      <c r="AC37" s="15">
        <v>3</v>
      </c>
      <c r="AD37" s="15">
        <v>0</v>
      </c>
      <c r="AE37" s="15">
        <v>0</v>
      </c>
      <c r="AF37" s="15">
        <v>0</v>
      </c>
      <c r="AG37" s="15">
        <v>1</v>
      </c>
      <c r="AH37" s="15">
        <v>0</v>
      </c>
      <c r="AI37" s="15">
        <v>0</v>
      </c>
      <c r="AJ37" s="15">
        <v>1</v>
      </c>
      <c r="AK37" s="15">
        <v>3</v>
      </c>
      <c r="AL37" s="15">
        <v>3</v>
      </c>
      <c r="AM37" s="15">
        <v>2</v>
      </c>
      <c r="AN37" s="13">
        <v>1</v>
      </c>
      <c r="AO37" s="15">
        <v>0</v>
      </c>
      <c r="AP37" s="15">
        <v>1</v>
      </c>
      <c r="AQ37" s="15">
        <v>0</v>
      </c>
      <c r="AR37" s="15">
        <v>0</v>
      </c>
      <c r="AS37" s="15">
        <v>0</v>
      </c>
      <c r="AT37" s="15">
        <v>1</v>
      </c>
      <c r="AU37" s="15">
        <v>0</v>
      </c>
      <c r="AV37" s="15">
        <v>0</v>
      </c>
      <c r="AW37" s="15">
        <v>0</v>
      </c>
      <c r="AX37" s="15" t="s">
        <v>201</v>
      </c>
      <c r="AY37" s="16" t="s">
        <v>201</v>
      </c>
      <c r="AZ37" s="16"/>
      <c r="BA37" s="16" t="s">
        <v>197</v>
      </c>
      <c r="BB37" s="15" t="s">
        <v>243</v>
      </c>
      <c r="BC37" s="15" t="s">
        <v>203</v>
      </c>
      <c r="BD37" s="5">
        <v>43691</v>
      </c>
      <c r="BE37" s="14">
        <f ca="1">IF(ISBLANK($BD37),"",(TODAY()-$BD37)/30)</f>
        <v>6.8666666666666663</v>
      </c>
      <c r="BF37" s="29">
        <v>150</v>
      </c>
      <c r="BG37" s="29">
        <v>131</v>
      </c>
      <c r="BH37" s="15">
        <v>131</v>
      </c>
      <c r="BI37" s="28">
        <f>BH37-BG37</f>
        <v>0</v>
      </c>
    </row>
    <row r="38" spans="1:62">
      <c r="A38" s="1">
        <f>ROW()-2</f>
        <v>36</v>
      </c>
      <c r="B38" s="4" t="s">
        <v>244</v>
      </c>
      <c r="C38" s="15" t="s">
        <v>151</v>
      </c>
      <c r="D38" s="15" t="s">
        <v>245</v>
      </c>
      <c r="E38" s="15" t="s">
        <v>72</v>
      </c>
      <c r="F38" s="7" t="s">
        <v>73</v>
      </c>
      <c r="G38" s="17">
        <f>IF(SUM(O38:AW38)&gt;0,SUM(O38:AW38)+100,0)</f>
        <v>131</v>
      </c>
      <c r="H38" s="14">
        <f>IFERROR(SUM(O38:AW38)/35, "")</f>
        <v>0.88571428571428568</v>
      </c>
      <c r="I38" s="13" t="str">
        <f>IF(H38&gt;=2.8,"Legendary",IF(H38&gt;=2,"Avenger",IF(H38&gt;=1,"Superhero","Hero")))</f>
        <v>Hero</v>
      </c>
      <c r="J38" s="13" t="s">
        <v>87</v>
      </c>
      <c r="K38" s="13" t="s">
        <v>74</v>
      </c>
      <c r="L38" s="13" t="s">
        <v>75</v>
      </c>
      <c r="M38" s="13" t="s">
        <v>75</v>
      </c>
      <c r="N38" s="13" t="s">
        <v>74</v>
      </c>
      <c r="O38" s="15">
        <v>1</v>
      </c>
      <c r="P38" s="15">
        <v>1</v>
      </c>
      <c r="Q38" s="15">
        <v>1</v>
      </c>
      <c r="R38" s="15">
        <v>0</v>
      </c>
      <c r="S38" s="15">
        <v>1</v>
      </c>
      <c r="T38" s="15">
        <v>2</v>
      </c>
      <c r="U38" s="15">
        <v>2</v>
      </c>
      <c r="V38" s="15">
        <v>1</v>
      </c>
      <c r="W38" s="15">
        <v>0</v>
      </c>
      <c r="X38" s="15">
        <v>1</v>
      </c>
      <c r="Y38" s="15">
        <v>0</v>
      </c>
      <c r="Z38" s="15">
        <v>1</v>
      </c>
      <c r="AA38" s="15">
        <v>3</v>
      </c>
      <c r="AB38" s="15">
        <v>1</v>
      </c>
      <c r="AC38" s="15">
        <v>1</v>
      </c>
      <c r="AD38" s="15">
        <v>1</v>
      </c>
      <c r="AE38" s="15">
        <v>1</v>
      </c>
      <c r="AF38" s="15">
        <v>1</v>
      </c>
      <c r="AG38" s="15">
        <v>1</v>
      </c>
      <c r="AH38" s="15">
        <v>0</v>
      </c>
      <c r="AI38" s="15">
        <v>1</v>
      </c>
      <c r="AJ38" s="15">
        <v>1</v>
      </c>
      <c r="AK38" s="15">
        <v>3</v>
      </c>
      <c r="AL38" s="15">
        <v>1</v>
      </c>
      <c r="AM38" s="15">
        <v>1</v>
      </c>
      <c r="AN38" s="13">
        <v>0</v>
      </c>
      <c r="AO38" s="15">
        <v>0</v>
      </c>
      <c r="AP38" s="15">
        <v>0</v>
      </c>
      <c r="AQ38" s="15">
        <v>0</v>
      </c>
      <c r="AR38" s="15">
        <v>1</v>
      </c>
      <c r="AS38" s="15">
        <v>1</v>
      </c>
      <c r="AT38" s="15">
        <v>1</v>
      </c>
      <c r="AU38" s="15">
        <v>0</v>
      </c>
      <c r="AV38" s="15">
        <v>0</v>
      </c>
      <c r="AW38" s="15">
        <v>1</v>
      </c>
      <c r="AX38" s="15" t="s">
        <v>76</v>
      </c>
      <c r="AY38" s="15" t="s">
        <v>246</v>
      </c>
      <c r="AZ38" s="15" t="s">
        <v>247</v>
      </c>
      <c r="BA38" s="15" t="s">
        <v>248</v>
      </c>
      <c r="BB38" s="15" t="s">
        <v>136</v>
      </c>
      <c r="BC38" s="15" t="s">
        <v>157</v>
      </c>
      <c r="BD38" s="5">
        <v>43586</v>
      </c>
      <c r="BE38" s="14">
        <f ca="1">IF(ISBLANK($BD38),"",(TODAY()-$BD38)/30)</f>
        <v>10.366666666666667</v>
      </c>
      <c r="BF38" s="29">
        <v>120</v>
      </c>
      <c r="BG38" s="29">
        <v>129</v>
      </c>
      <c r="BH38" s="15">
        <v>129</v>
      </c>
      <c r="BI38" s="28">
        <f>BH38-BG38</f>
        <v>0</v>
      </c>
      <c r="BJ38" s="26">
        <f>(BG38/BF38)-1</f>
        <v>7.4999999999999956E-2</v>
      </c>
    </row>
    <row r="39" spans="1:62">
      <c r="A39" s="1">
        <f>ROW()-2</f>
        <v>37</v>
      </c>
      <c r="B39" s="4" t="s">
        <v>249</v>
      </c>
      <c r="C39" s="15" t="s">
        <v>230</v>
      </c>
      <c r="D39" s="15" t="s">
        <v>115</v>
      </c>
      <c r="E39" s="15" t="s">
        <v>100</v>
      </c>
      <c r="F39" s="7" t="s">
        <v>73</v>
      </c>
      <c r="G39" s="17">
        <f>IF(SUM(O39:AW39)&gt;0,SUM(O39:AW39)+100,0)</f>
        <v>131</v>
      </c>
      <c r="H39" s="14">
        <f>IFERROR(SUM(O39:AW39)/35, "")</f>
        <v>0.88571428571428568</v>
      </c>
      <c r="I39" s="13" t="str">
        <f>IF(H39&gt;=2.8,"Legendary",IF(H39&gt;=2,"Avenger",IF(H39&gt;=1,"Superhero","Hero")))</f>
        <v>Hero</v>
      </c>
      <c r="J39" s="13" t="s">
        <v>74</v>
      </c>
      <c r="K39" s="13" t="s">
        <v>74</v>
      </c>
      <c r="L39" s="13" t="s">
        <v>75</v>
      </c>
      <c r="M39" s="13" t="s">
        <v>75</v>
      </c>
      <c r="N39" s="13" t="s">
        <v>75</v>
      </c>
      <c r="O39" s="15">
        <v>1</v>
      </c>
      <c r="P39" s="15">
        <v>1</v>
      </c>
      <c r="Q39" s="15">
        <v>2</v>
      </c>
      <c r="R39" s="15">
        <v>2</v>
      </c>
      <c r="S39" s="15">
        <v>1</v>
      </c>
      <c r="T39" s="15">
        <v>2</v>
      </c>
      <c r="U39" s="15">
        <v>2</v>
      </c>
      <c r="V39" s="15">
        <v>0</v>
      </c>
      <c r="W39" s="15">
        <v>1</v>
      </c>
      <c r="X39" s="15">
        <v>3</v>
      </c>
      <c r="Y39" s="15">
        <v>0</v>
      </c>
      <c r="Z39" s="15">
        <v>0</v>
      </c>
      <c r="AA39" s="15">
        <v>0</v>
      </c>
      <c r="AB39" s="15">
        <v>2</v>
      </c>
      <c r="AC39" s="15">
        <v>3</v>
      </c>
      <c r="AD39" s="15">
        <v>1</v>
      </c>
      <c r="AE39" s="15">
        <v>1</v>
      </c>
      <c r="AF39" s="15">
        <v>1</v>
      </c>
      <c r="AG39" s="15">
        <v>1</v>
      </c>
      <c r="AH39" s="15">
        <v>0</v>
      </c>
      <c r="AI39" s="15">
        <v>0</v>
      </c>
      <c r="AJ39" s="15">
        <v>1</v>
      </c>
      <c r="AK39" s="15">
        <v>0</v>
      </c>
      <c r="AL39" s="15">
        <v>1</v>
      </c>
      <c r="AM39" s="15">
        <v>0</v>
      </c>
      <c r="AN39" s="13">
        <v>0</v>
      </c>
      <c r="AO39" s="15">
        <v>0</v>
      </c>
      <c r="AP39" s="15">
        <v>0</v>
      </c>
      <c r="AQ39" s="15">
        <v>0</v>
      </c>
      <c r="AR39" s="15">
        <v>1</v>
      </c>
      <c r="AS39" s="15">
        <v>1</v>
      </c>
      <c r="AT39" s="15">
        <v>2</v>
      </c>
      <c r="AU39" s="15">
        <v>1</v>
      </c>
      <c r="AV39" s="15">
        <v>0</v>
      </c>
      <c r="AW39" s="15">
        <v>0</v>
      </c>
      <c r="AX39" s="15" t="s">
        <v>232</v>
      </c>
      <c r="AY39" s="16" t="s">
        <v>250</v>
      </c>
      <c r="AZ39" s="16" t="s">
        <v>234</v>
      </c>
      <c r="BA39" s="15" t="s">
        <v>235</v>
      </c>
      <c r="BB39" s="15" t="s">
        <v>236</v>
      </c>
      <c r="BC39" s="15" t="s">
        <v>235</v>
      </c>
      <c r="BD39" s="5">
        <v>43801</v>
      </c>
      <c r="BE39" s="14">
        <f ca="1">IF(ISBLANK($BD39),"",(TODAY()-$BD39)/30)</f>
        <v>3.2</v>
      </c>
      <c r="BF39" s="29">
        <v>128</v>
      </c>
      <c r="BG39" s="29">
        <v>129</v>
      </c>
      <c r="BH39" s="15">
        <v>131</v>
      </c>
      <c r="BI39" s="28">
        <f>BH39-BG39</f>
        <v>2</v>
      </c>
    </row>
    <row r="40" spans="1:62">
      <c r="A40" s="1">
        <f>ROW()-2</f>
        <v>38</v>
      </c>
      <c r="B40" s="4" t="s">
        <v>251</v>
      </c>
      <c r="C40" s="15" t="s">
        <v>251</v>
      </c>
      <c r="D40" s="15"/>
      <c r="E40" s="15" t="s">
        <v>72</v>
      </c>
      <c r="F40" s="7" t="s">
        <v>73</v>
      </c>
      <c r="G40" s="17">
        <f>IF(SUM(O40:AW40)&gt;0,SUM(O40:AW40)+100,0)</f>
        <v>130</v>
      </c>
      <c r="H40" s="14">
        <f>IFERROR(SUM(O40:AW40)/35, "")</f>
        <v>0.8571428571428571</v>
      </c>
      <c r="I40" s="13" t="str">
        <f>IF(H40&gt;=2.8,"Legendary",IF(H40&gt;=2,"Avenger",IF(H40&gt;=1,"Superhero","Hero")))</f>
        <v>Hero</v>
      </c>
      <c r="J40" s="13" t="s">
        <v>74</v>
      </c>
      <c r="K40" s="13" t="s">
        <v>74</v>
      </c>
      <c r="L40" s="13" t="s">
        <v>75</v>
      </c>
      <c r="M40" s="13" t="s">
        <v>75</v>
      </c>
      <c r="N40" s="13" t="s">
        <v>75</v>
      </c>
      <c r="O40" s="15">
        <v>1</v>
      </c>
      <c r="P40" s="15">
        <v>0</v>
      </c>
      <c r="Q40" s="15">
        <v>1</v>
      </c>
      <c r="R40" s="15">
        <v>0</v>
      </c>
      <c r="S40" s="15">
        <v>1</v>
      </c>
      <c r="T40" s="15">
        <v>2</v>
      </c>
      <c r="U40" s="15">
        <v>2</v>
      </c>
      <c r="V40" s="15">
        <v>1</v>
      </c>
      <c r="W40" s="15">
        <v>2</v>
      </c>
      <c r="X40" s="15">
        <v>0</v>
      </c>
      <c r="Y40" s="15">
        <v>1</v>
      </c>
      <c r="Z40" s="15">
        <v>1</v>
      </c>
      <c r="AA40" s="15">
        <v>0</v>
      </c>
      <c r="AB40" s="15">
        <v>2</v>
      </c>
      <c r="AC40" s="15">
        <v>3</v>
      </c>
      <c r="AD40" s="15">
        <v>0</v>
      </c>
      <c r="AE40" s="15">
        <v>1</v>
      </c>
      <c r="AF40" s="15">
        <v>1</v>
      </c>
      <c r="AG40" s="15">
        <v>1</v>
      </c>
      <c r="AH40" s="15">
        <v>1</v>
      </c>
      <c r="AI40" s="15">
        <v>1</v>
      </c>
      <c r="AJ40" s="15">
        <v>1</v>
      </c>
      <c r="AK40" s="15">
        <v>3</v>
      </c>
      <c r="AL40" s="15">
        <v>1</v>
      </c>
      <c r="AM40" s="15">
        <v>1</v>
      </c>
      <c r="AN40" s="13">
        <v>0</v>
      </c>
      <c r="AO40" s="15">
        <v>0</v>
      </c>
      <c r="AP40" s="15">
        <v>0</v>
      </c>
      <c r="AQ40" s="15">
        <v>0</v>
      </c>
      <c r="AR40" s="15">
        <v>1</v>
      </c>
      <c r="AS40" s="15">
        <v>0</v>
      </c>
      <c r="AT40" s="15">
        <v>1</v>
      </c>
      <c r="AU40" s="15">
        <v>0</v>
      </c>
      <c r="AV40" s="15">
        <v>0</v>
      </c>
      <c r="AW40" s="15">
        <v>0</v>
      </c>
      <c r="AX40" s="15" t="s">
        <v>76</v>
      </c>
      <c r="AY40" s="15" t="s">
        <v>115</v>
      </c>
      <c r="AZ40" s="15"/>
      <c r="BA40" s="15"/>
      <c r="BB40" s="15" t="s">
        <v>252</v>
      </c>
      <c r="BC40" s="15" t="s">
        <v>253</v>
      </c>
      <c r="BD40" s="5">
        <v>43678</v>
      </c>
      <c r="BE40" s="14">
        <f ca="1">IF(ISBLANK($BD40),"",(TODAY()-$BD40)/30)</f>
        <v>7.3</v>
      </c>
      <c r="BF40" s="29">
        <v>125</v>
      </c>
      <c r="BG40" s="29">
        <v>130</v>
      </c>
      <c r="BH40" s="15">
        <v>130</v>
      </c>
      <c r="BI40" s="28">
        <f>BH40-BG40</f>
        <v>0</v>
      </c>
    </row>
    <row r="41" spans="1:62">
      <c r="A41" s="1">
        <f>ROW()-2</f>
        <v>39</v>
      </c>
      <c r="B41" s="4" t="s">
        <v>254</v>
      </c>
      <c r="C41" s="15" t="s">
        <v>255</v>
      </c>
      <c r="D41" s="15" t="s">
        <v>256</v>
      </c>
      <c r="E41" s="15" t="s">
        <v>86</v>
      </c>
      <c r="F41" s="7" t="s">
        <v>73</v>
      </c>
      <c r="G41" s="17">
        <f>IF(SUM(O41:AW41)&gt;0,SUM(O41:AW41)+100,0)</f>
        <v>128</v>
      </c>
      <c r="H41" s="14">
        <f>IFERROR(SUM(O41:AW41)/35, "")</f>
        <v>0.8</v>
      </c>
      <c r="I41" s="13" t="str">
        <f>IF(H41&gt;=2.8,"Legendary",IF(H41&gt;=2,"Avenger",IF(H41&gt;=1,"Superhero","Hero")))</f>
        <v>Hero</v>
      </c>
      <c r="J41" s="13" t="s">
        <v>87</v>
      </c>
      <c r="K41" s="13" t="s">
        <v>87</v>
      </c>
      <c r="L41" s="13" t="s">
        <v>75</v>
      </c>
      <c r="M41" s="13" t="s">
        <v>75</v>
      </c>
      <c r="N41" s="13" t="s">
        <v>74</v>
      </c>
      <c r="O41" s="15">
        <v>1</v>
      </c>
      <c r="P41" s="15">
        <v>1</v>
      </c>
      <c r="Q41" s="15">
        <v>2</v>
      </c>
      <c r="R41" s="15">
        <v>0</v>
      </c>
      <c r="S41" s="15">
        <v>1</v>
      </c>
      <c r="T41" s="15">
        <v>1</v>
      </c>
      <c r="U41" s="15">
        <v>2</v>
      </c>
      <c r="V41" s="15">
        <v>2</v>
      </c>
      <c r="W41" s="15">
        <v>1</v>
      </c>
      <c r="X41" s="15">
        <v>2</v>
      </c>
      <c r="Y41" s="15">
        <v>0</v>
      </c>
      <c r="Z41" s="15">
        <v>0</v>
      </c>
      <c r="AA41" s="15">
        <v>3</v>
      </c>
      <c r="AB41" s="15">
        <v>1</v>
      </c>
      <c r="AC41" s="15">
        <v>1</v>
      </c>
      <c r="AD41" s="15">
        <v>1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1</v>
      </c>
      <c r="AK41" s="15">
        <v>0</v>
      </c>
      <c r="AL41" s="15">
        <v>0</v>
      </c>
      <c r="AM41" s="15">
        <v>2</v>
      </c>
      <c r="AN41" s="13">
        <v>1</v>
      </c>
      <c r="AO41" s="15">
        <v>0</v>
      </c>
      <c r="AP41" s="15">
        <v>0</v>
      </c>
      <c r="AQ41" s="15">
        <v>0</v>
      </c>
      <c r="AR41" s="15">
        <v>1</v>
      </c>
      <c r="AS41" s="15">
        <v>0</v>
      </c>
      <c r="AT41" s="15">
        <v>3</v>
      </c>
      <c r="AU41" s="15">
        <v>1</v>
      </c>
      <c r="AV41" s="15">
        <v>0</v>
      </c>
      <c r="AW41" s="15">
        <v>0</v>
      </c>
      <c r="AX41" s="15" t="s">
        <v>88</v>
      </c>
      <c r="AY41" s="15" t="s">
        <v>257</v>
      </c>
      <c r="AZ41" s="15" t="s">
        <v>258</v>
      </c>
      <c r="BA41" s="15" t="s">
        <v>259</v>
      </c>
      <c r="BB41" s="15" t="s">
        <v>260</v>
      </c>
      <c r="BC41" s="15" t="s">
        <v>157</v>
      </c>
      <c r="BD41" s="5">
        <v>43586</v>
      </c>
      <c r="BE41" s="14">
        <f ca="1">IF(ISBLANK($BD41),"",(TODAY()-$BD41)/30)</f>
        <v>10.366666666666667</v>
      </c>
      <c r="BF41" s="29">
        <v>128</v>
      </c>
      <c r="BG41" s="29">
        <v>127</v>
      </c>
      <c r="BH41" s="15">
        <v>128</v>
      </c>
      <c r="BI41" s="28">
        <f>BH41-BG41</f>
        <v>1</v>
      </c>
    </row>
    <row r="42" spans="1:62">
      <c r="A42" s="1">
        <f>ROW()-2</f>
        <v>40</v>
      </c>
      <c r="B42" s="4" t="s">
        <v>261</v>
      </c>
      <c r="C42" s="15" t="s">
        <v>70</v>
      </c>
      <c r="D42" s="15" t="s">
        <v>261</v>
      </c>
      <c r="E42" s="15" t="s">
        <v>108</v>
      </c>
      <c r="F42" s="7" t="s">
        <v>73</v>
      </c>
      <c r="G42" s="17">
        <f>IF(SUM(O42:AW42)&gt;0,SUM(O42:AW42)+100,0)</f>
        <v>127</v>
      </c>
      <c r="H42" s="14">
        <f>IFERROR(SUM(O42:AW42)/35, "")</f>
        <v>0.77142857142857146</v>
      </c>
      <c r="I42" s="13" t="str">
        <f>IF(H42&gt;=2.8,"Legendary",IF(H42&gt;=2,"Avenger",IF(H42&gt;=1,"Superhero","Hero")))</f>
        <v>Hero</v>
      </c>
      <c r="J42" s="13" t="s">
        <v>75</v>
      </c>
      <c r="K42" s="13" t="s">
        <v>75</v>
      </c>
      <c r="L42" s="13" t="s">
        <v>75</v>
      </c>
      <c r="M42" s="13" t="s">
        <v>75</v>
      </c>
      <c r="N42" s="13" t="s">
        <v>75</v>
      </c>
      <c r="O42" s="15">
        <v>1</v>
      </c>
      <c r="P42" s="15">
        <v>1</v>
      </c>
      <c r="Q42" s="15">
        <v>0</v>
      </c>
      <c r="R42" s="15">
        <v>1</v>
      </c>
      <c r="S42" s="15">
        <v>1</v>
      </c>
      <c r="T42" s="15">
        <v>2</v>
      </c>
      <c r="U42" s="15">
        <v>2</v>
      </c>
      <c r="V42" s="15">
        <v>2</v>
      </c>
      <c r="W42" s="15">
        <v>2</v>
      </c>
      <c r="X42" s="15">
        <v>1</v>
      </c>
      <c r="Y42" s="15">
        <v>1</v>
      </c>
      <c r="Z42" s="15">
        <v>1</v>
      </c>
      <c r="AA42" s="15">
        <v>0</v>
      </c>
      <c r="AB42" s="15">
        <v>0</v>
      </c>
      <c r="AC42" s="15">
        <v>1</v>
      </c>
      <c r="AD42" s="15">
        <v>0</v>
      </c>
      <c r="AE42" s="15">
        <v>0</v>
      </c>
      <c r="AF42" s="15">
        <v>0</v>
      </c>
      <c r="AG42" s="15">
        <v>1</v>
      </c>
      <c r="AH42" s="15">
        <v>0</v>
      </c>
      <c r="AI42" s="15">
        <v>1</v>
      </c>
      <c r="AJ42" s="15">
        <v>1</v>
      </c>
      <c r="AK42" s="15">
        <v>3</v>
      </c>
      <c r="AL42" s="15">
        <v>1</v>
      </c>
      <c r="AM42" s="15">
        <v>2</v>
      </c>
      <c r="AN42" s="13">
        <v>0</v>
      </c>
      <c r="AO42" s="15">
        <v>0</v>
      </c>
      <c r="AP42" s="15">
        <v>0</v>
      </c>
      <c r="AQ42" s="15">
        <v>0</v>
      </c>
      <c r="AR42" s="15">
        <v>1</v>
      </c>
      <c r="AS42" s="15">
        <v>0</v>
      </c>
      <c r="AT42" s="15">
        <v>1</v>
      </c>
      <c r="AU42" s="15">
        <v>0</v>
      </c>
      <c r="AV42" s="15">
        <v>0</v>
      </c>
      <c r="AW42" s="15">
        <v>0</v>
      </c>
      <c r="AX42" s="15" t="s">
        <v>109</v>
      </c>
      <c r="AY42" s="15" t="s">
        <v>262</v>
      </c>
      <c r="AZ42" s="15" t="s">
        <v>263</v>
      </c>
      <c r="BA42" s="15" t="s">
        <v>264</v>
      </c>
      <c r="BB42" s="15" t="s">
        <v>80</v>
      </c>
      <c r="BC42" s="15" t="s">
        <v>81</v>
      </c>
      <c r="BD42" s="5">
        <v>43266</v>
      </c>
      <c r="BE42" s="14">
        <f ca="1">IF(ISBLANK($BD42),"",(TODAY()-$BD42)/30)</f>
        <v>21.033333333333335</v>
      </c>
      <c r="BF42" s="29">
        <v>141</v>
      </c>
      <c r="BG42" s="29">
        <v>125</v>
      </c>
      <c r="BH42" s="15">
        <v>127</v>
      </c>
      <c r="BI42" s="28">
        <f>BH42-BG42</f>
        <v>2</v>
      </c>
    </row>
    <row r="43" spans="1:62">
      <c r="A43" s="1">
        <f>ROW()-2</f>
        <v>41</v>
      </c>
      <c r="B43" s="4" t="s">
        <v>265</v>
      </c>
      <c r="C43" s="15" t="s">
        <v>255</v>
      </c>
      <c r="D43" s="15" t="s">
        <v>266</v>
      </c>
      <c r="E43" s="15" t="s">
        <v>86</v>
      </c>
      <c r="F43" s="7" t="s">
        <v>73</v>
      </c>
      <c r="G43" s="17">
        <f>IF(SUM(O43:AW43)&gt;0,SUM(O43:AW43)+100,0)</f>
        <v>125</v>
      </c>
      <c r="H43" s="14">
        <f>IFERROR(SUM(O43:AW43)/35, "")</f>
        <v>0.7142857142857143</v>
      </c>
      <c r="I43" s="13" t="str">
        <f>IF(H43&gt;=2.8,"Legendary",IF(H43&gt;=2,"Avenger",IF(H43&gt;=1,"Superhero","Hero")))</f>
        <v>Hero</v>
      </c>
      <c r="J43" s="13" t="s">
        <v>87</v>
      </c>
      <c r="K43" s="13" t="s">
        <v>87</v>
      </c>
      <c r="L43" s="13" t="s">
        <v>75</v>
      </c>
      <c r="M43" s="13" t="s">
        <v>75</v>
      </c>
      <c r="N43" s="13" t="s">
        <v>74</v>
      </c>
      <c r="O43" s="15">
        <v>1</v>
      </c>
      <c r="P43" s="15">
        <v>1</v>
      </c>
      <c r="Q43" s="15">
        <v>2</v>
      </c>
      <c r="R43" s="15">
        <v>0</v>
      </c>
      <c r="S43" s="15">
        <v>0</v>
      </c>
      <c r="T43" s="15">
        <v>0</v>
      </c>
      <c r="U43" s="15">
        <v>2</v>
      </c>
      <c r="V43" s="15">
        <v>2</v>
      </c>
      <c r="W43" s="15">
        <v>1</v>
      </c>
      <c r="X43" s="15">
        <v>2</v>
      </c>
      <c r="Y43" s="15">
        <v>1</v>
      </c>
      <c r="Z43" s="15">
        <v>0</v>
      </c>
      <c r="AA43" s="15">
        <v>2</v>
      </c>
      <c r="AB43" s="15">
        <v>1</v>
      </c>
      <c r="AC43" s="15">
        <v>1</v>
      </c>
      <c r="AD43" s="15">
        <v>1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1</v>
      </c>
      <c r="AK43" s="15">
        <v>0</v>
      </c>
      <c r="AL43" s="15">
        <v>0</v>
      </c>
      <c r="AM43" s="15">
        <v>1</v>
      </c>
      <c r="AN43" s="13">
        <v>1</v>
      </c>
      <c r="AO43" s="15">
        <v>0</v>
      </c>
      <c r="AP43" s="15">
        <v>0</v>
      </c>
      <c r="AQ43" s="15">
        <v>0</v>
      </c>
      <c r="AR43" s="15">
        <v>1</v>
      </c>
      <c r="AS43" s="15">
        <v>0</v>
      </c>
      <c r="AT43" s="15">
        <v>3</v>
      </c>
      <c r="AU43" s="15">
        <v>1</v>
      </c>
      <c r="AV43" s="15">
        <v>0</v>
      </c>
      <c r="AW43" s="15">
        <v>0</v>
      </c>
      <c r="AX43" s="15" t="s">
        <v>88</v>
      </c>
      <c r="AY43" s="15" t="s">
        <v>267</v>
      </c>
      <c r="AZ43" s="15" t="s">
        <v>258</v>
      </c>
      <c r="BA43" s="15" t="s">
        <v>259</v>
      </c>
      <c r="BB43" s="15" t="s">
        <v>260</v>
      </c>
      <c r="BC43" s="15" t="s">
        <v>157</v>
      </c>
      <c r="BD43" s="5">
        <v>43586</v>
      </c>
      <c r="BE43" s="14">
        <f ca="1">IF(ISBLANK($BD43),"",(TODAY()-$BD43)/30)</f>
        <v>10.366666666666667</v>
      </c>
      <c r="BF43" s="29">
        <v>127</v>
      </c>
      <c r="BG43" s="29">
        <v>125</v>
      </c>
      <c r="BH43" s="15">
        <v>125</v>
      </c>
      <c r="BI43" s="28">
        <f>BH43-BG43</f>
        <v>0</v>
      </c>
    </row>
    <row r="44" spans="1:62">
      <c r="A44" s="1">
        <f>ROW()-2</f>
        <v>42</v>
      </c>
      <c r="B44" s="4" t="s">
        <v>268</v>
      </c>
      <c r="C44" s="15" t="s">
        <v>268</v>
      </c>
      <c r="D44" s="15"/>
      <c r="E44" s="15" t="s">
        <v>72</v>
      </c>
      <c r="F44" s="7" t="s">
        <v>73</v>
      </c>
      <c r="G44" s="17">
        <f>IF(SUM(O44:AW44)&gt;0,SUM(O44:AW44)+100,0)</f>
        <v>125</v>
      </c>
      <c r="H44" s="14">
        <f>IFERROR(SUM(O44:AW44)/35, "")</f>
        <v>0.7142857142857143</v>
      </c>
      <c r="I44" s="13" t="str">
        <f>IF(H44&gt;=2.8,"Legendary",IF(H44&gt;=2,"Avenger",IF(H44&gt;=1,"Superhero","Hero")))</f>
        <v>Hero</v>
      </c>
      <c r="J44" s="13" t="s">
        <v>74</v>
      </c>
      <c r="K44" s="13" t="s">
        <v>74</v>
      </c>
      <c r="L44" s="13" t="s">
        <v>75</v>
      </c>
      <c r="M44" s="13" t="s">
        <v>75</v>
      </c>
      <c r="N44" s="13" t="s">
        <v>74</v>
      </c>
      <c r="O44" s="15">
        <v>1</v>
      </c>
      <c r="P44" s="15">
        <v>1</v>
      </c>
      <c r="Q44" s="15">
        <v>2</v>
      </c>
      <c r="R44" s="15">
        <v>0</v>
      </c>
      <c r="S44" s="15">
        <v>1</v>
      </c>
      <c r="T44" s="15">
        <v>1</v>
      </c>
      <c r="U44" s="15">
        <v>1</v>
      </c>
      <c r="V44" s="15">
        <v>1</v>
      </c>
      <c r="W44" s="15">
        <v>1</v>
      </c>
      <c r="X44" s="15">
        <v>0</v>
      </c>
      <c r="Y44" s="15">
        <v>0</v>
      </c>
      <c r="Z44" s="15">
        <v>1</v>
      </c>
      <c r="AA44" s="15">
        <v>0</v>
      </c>
      <c r="AB44" s="15">
        <v>1</v>
      </c>
      <c r="AC44" s="15">
        <v>1</v>
      </c>
      <c r="AD44" s="15">
        <v>0</v>
      </c>
      <c r="AE44" s="15">
        <v>0</v>
      </c>
      <c r="AF44" s="15">
        <v>1</v>
      </c>
      <c r="AG44" s="15">
        <v>1</v>
      </c>
      <c r="AH44" s="15">
        <v>1</v>
      </c>
      <c r="AI44" s="15">
        <v>1</v>
      </c>
      <c r="AJ44" s="15">
        <v>1</v>
      </c>
      <c r="AK44" s="15">
        <v>3</v>
      </c>
      <c r="AL44" s="15">
        <v>3</v>
      </c>
      <c r="AM44" s="15">
        <v>1</v>
      </c>
      <c r="AN44" s="13">
        <v>0</v>
      </c>
      <c r="AO44" s="15">
        <v>0</v>
      </c>
      <c r="AP44" s="15">
        <v>0</v>
      </c>
      <c r="AQ44" s="15">
        <v>0</v>
      </c>
      <c r="AR44" s="15">
        <v>1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 t="s">
        <v>76</v>
      </c>
      <c r="AY44" s="15" t="s">
        <v>269</v>
      </c>
      <c r="AZ44" s="15"/>
      <c r="BA44" s="15"/>
      <c r="BB44" s="15" t="s">
        <v>270</v>
      </c>
      <c r="BC44" s="15" t="s">
        <v>271</v>
      </c>
      <c r="BD44" s="5"/>
      <c r="BE44" s="14" t="str">
        <f ca="1">IF(ISBLANK($BD44),"",(TODAY()-$BD44)/30)</f>
        <v/>
      </c>
      <c r="BF44" s="29">
        <v>134</v>
      </c>
      <c r="BG44" s="29">
        <v>125</v>
      </c>
      <c r="BH44" s="15">
        <v>125</v>
      </c>
      <c r="BI44" s="28">
        <f>BH44-BG44</f>
        <v>0</v>
      </c>
    </row>
    <row r="45" spans="1:62">
      <c r="A45" s="1">
        <f>ROW()-2</f>
        <v>43</v>
      </c>
      <c r="B45" s="4" t="s">
        <v>272</v>
      </c>
      <c r="C45" s="15" t="s">
        <v>272</v>
      </c>
      <c r="D45" s="15"/>
      <c r="E45" s="15" t="s">
        <v>108</v>
      </c>
      <c r="F45" s="7" t="s">
        <v>73</v>
      </c>
      <c r="G45" s="17">
        <f>IF(SUM(O45:AW45)&gt;0,SUM(O45:AW45)+100,0)</f>
        <v>124</v>
      </c>
      <c r="H45" s="14">
        <f>IFERROR(SUM(O45:AW45)/35, "")</f>
        <v>0.68571428571428572</v>
      </c>
      <c r="I45" s="13" t="str">
        <f>IF(H45&gt;=2.8,"Legendary",IF(H45&gt;=2,"Avenger",IF(H45&gt;=1,"Superhero","Hero")))</f>
        <v>Hero</v>
      </c>
      <c r="J45" s="13" t="s">
        <v>74</v>
      </c>
      <c r="K45" s="13" t="s">
        <v>74</v>
      </c>
      <c r="L45" s="13" t="s">
        <v>75</v>
      </c>
      <c r="M45" s="13" t="s">
        <v>75</v>
      </c>
      <c r="N45" s="13" t="s">
        <v>74</v>
      </c>
      <c r="O45" s="15">
        <v>1</v>
      </c>
      <c r="P45" s="15">
        <v>1</v>
      </c>
      <c r="Q45" s="15">
        <v>1</v>
      </c>
      <c r="R45" s="15">
        <v>0</v>
      </c>
      <c r="S45" s="15">
        <v>0</v>
      </c>
      <c r="T45" s="15">
        <v>1</v>
      </c>
      <c r="U45" s="15">
        <v>2</v>
      </c>
      <c r="V45" s="15">
        <v>0</v>
      </c>
      <c r="W45" s="15">
        <v>1</v>
      </c>
      <c r="X45" s="15">
        <v>1</v>
      </c>
      <c r="Y45" s="15">
        <v>1</v>
      </c>
      <c r="Z45" s="15">
        <v>1</v>
      </c>
      <c r="AA45" s="15">
        <v>0</v>
      </c>
      <c r="AB45" s="15">
        <v>2</v>
      </c>
      <c r="AC45" s="15">
        <v>1</v>
      </c>
      <c r="AD45" s="15">
        <v>1</v>
      </c>
      <c r="AE45" s="15">
        <v>0</v>
      </c>
      <c r="AF45" s="15">
        <v>0</v>
      </c>
      <c r="AG45" s="15">
        <v>1</v>
      </c>
      <c r="AH45" s="15">
        <v>0</v>
      </c>
      <c r="AI45" s="15">
        <v>1</v>
      </c>
      <c r="AJ45" s="15">
        <v>1</v>
      </c>
      <c r="AK45" s="15">
        <v>3</v>
      </c>
      <c r="AL45" s="15">
        <v>1</v>
      </c>
      <c r="AM45" s="15">
        <v>1</v>
      </c>
      <c r="AN45" s="13">
        <v>0</v>
      </c>
      <c r="AO45" s="15">
        <v>0</v>
      </c>
      <c r="AP45" s="15">
        <v>0</v>
      </c>
      <c r="AQ45" s="15">
        <v>0</v>
      </c>
      <c r="AR45" s="15">
        <v>1</v>
      </c>
      <c r="AS45" s="15">
        <v>0</v>
      </c>
      <c r="AT45" s="15">
        <v>0</v>
      </c>
      <c r="AU45" s="15">
        <v>0</v>
      </c>
      <c r="AV45" s="15">
        <v>0</v>
      </c>
      <c r="AW45" s="15">
        <v>1</v>
      </c>
      <c r="AX45" s="15" t="s">
        <v>109</v>
      </c>
      <c r="AY45" s="15" t="s">
        <v>273</v>
      </c>
      <c r="AZ45" s="15" t="s">
        <v>274</v>
      </c>
      <c r="BA45" s="15" t="s">
        <v>275</v>
      </c>
      <c r="BB45" s="15" t="s">
        <v>276</v>
      </c>
      <c r="BC45" s="15" t="s">
        <v>277</v>
      </c>
      <c r="BD45" s="5">
        <v>43556</v>
      </c>
      <c r="BE45" s="14">
        <f ca="1">IF(ISBLANK($BD45),"",(TODAY()-$BD45)/30)</f>
        <v>11.366666666666667</v>
      </c>
      <c r="BF45" s="29">
        <v>126</v>
      </c>
      <c r="BG45" s="29">
        <v>124</v>
      </c>
      <c r="BH45" s="15">
        <v>124</v>
      </c>
      <c r="BI45" s="28">
        <f>BH45-BG45</f>
        <v>0</v>
      </c>
    </row>
    <row r="46" spans="1:62">
      <c r="A46" s="1">
        <f>ROW()-2</f>
        <v>44</v>
      </c>
      <c r="B46" s="4" t="s">
        <v>278</v>
      </c>
      <c r="C46" s="15" t="s">
        <v>278</v>
      </c>
      <c r="D46" s="15"/>
      <c r="E46" s="15" t="s">
        <v>72</v>
      </c>
      <c r="F46" s="7" t="s">
        <v>73</v>
      </c>
      <c r="G46" s="17">
        <f>IF(SUM(O46:AW46)&gt;0,SUM(O46:AW46)+100,0)</f>
        <v>123</v>
      </c>
      <c r="H46" s="14">
        <f>IFERROR(SUM(O46:AW46)/35, "")</f>
        <v>0.65714285714285714</v>
      </c>
      <c r="I46" s="13" t="str">
        <f>IF(H46&gt;=2.8,"Legendary",IF(H46&gt;=2,"Avenger",IF(H46&gt;=1,"Superhero","Hero")))</f>
        <v>Hero</v>
      </c>
      <c r="J46" s="13" t="s">
        <v>74</v>
      </c>
      <c r="K46" s="13" t="s">
        <v>74</v>
      </c>
      <c r="L46" s="13" t="s">
        <v>75</v>
      </c>
      <c r="M46" s="13" t="s">
        <v>75</v>
      </c>
      <c r="N46" s="13" t="s">
        <v>75</v>
      </c>
      <c r="O46" s="15">
        <v>1</v>
      </c>
      <c r="P46" s="15">
        <v>1</v>
      </c>
      <c r="Q46" s="15">
        <v>1</v>
      </c>
      <c r="R46" s="15">
        <v>0</v>
      </c>
      <c r="S46" s="15">
        <v>1</v>
      </c>
      <c r="T46" s="15">
        <v>1</v>
      </c>
      <c r="U46" s="15">
        <v>1</v>
      </c>
      <c r="V46" s="15">
        <v>1</v>
      </c>
      <c r="W46" s="15">
        <v>0</v>
      </c>
      <c r="X46" s="15">
        <v>1</v>
      </c>
      <c r="Y46" s="15">
        <v>1</v>
      </c>
      <c r="Z46" s="15">
        <v>1</v>
      </c>
      <c r="AA46" s="15">
        <v>0</v>
      </c>
      <c r="AB46" s="15">
        <v>1</v>
      </c>
      <c r="AC46" s="15">
        <v>1</v>
      </c>
      <c r="AD46" s="15">
        <v>0</v>
      </c>
      <c r="AE46" s="15">
        <v>0</v>
      </c>
      <c r="AF46" s="15">
        <v>1</v>
      </c>
      <c r="AG46" s="15">
        <v>1</v>
      </c>
      <c r="AH46" s="15">
        <v>1</v>
      </c>
      <c r="AI46" s="15">
        <v>1</v>
      </c>
      <c r="AJ46" s="15">
        <v>1</v>
      </c>
      <c r="AK46" s="15">
        <v>3</v>
      </c>
      <c r="AL46" s="15">
        <v>1</v>
      </c>
      <c r="AM46" s="15">
        <v>0</v>
      </c>
      <c r="AN46" s="13">
        <v>0</v>
      </c>
      <c r="AO46" s="15">
        <v>0</v>
      </c>
      <c r="AP46" s="15">
        <v>0</v>
      </c>
      <c r="AQ46" s="15">
        <v>0</v>
      </c>
      <c r="AR46" s="15">
        <v>1</v>
      </c>
      <c r="AS46" s="15">
        <v>0</v>
      </c>
      <c r="AT46" s="15">
        <v>1</v>
      </c>
      <c r="AU46" s="15">
        <v>0</v>
      </c>
      <c r="AV46" s="15">
        <v>0</v>
      </c>
      <c r="AW46" s="15">
        <v>0</v>
      </c>
      <c r="AX46" s="15" t="s">
        <v>76</v>
      </c>
      <c r="AY46" s="15" t="s">
        <v>279</v>
      </c>
      <c r="AZ46" s="15"/>
      <c r="BA46" s="15"/>
      <c r="BB46" s="15" t="s">
        <v>252</v>
      </c>
      <c r="BC46" s="15" t="s">
        <v>253</v>
      </c>
      <c r="BD46" s="5">
        <v>43678</v>
      </c>
      <c r="BE46" s="14">
        <f ca="1">IF(ISBLANK($BD46),"",(TODAY()-$BD46)/30)</f>
        <v>7.3</v>
      </c>
      <c r="BF46" s="29">
        <v>125</v>
      </c>
      <c r="BG46" s="29">
        <v>123</v>
      </c>
      <c r="BH46" s="15">
        <v>123</v>
      </c>
      <c r="BI46" s="28">
        <f>BH46-BG46</f>
        <v>0</v>
      </c>
    </row>
    <row r="47" spans="1:62">
      <c r="A47" s="1">
        <f>ROW()-2</f>
        <v>45</v>
      </c>
      <c r="B47" s="4" t="s">
        <v>272</v>
      </c>
      <c r="C47" s="15" t="s">
        <v>272</v>
      </c>
      <c r="D47" s="15"/>
      <c r="E47" s="15" t="s">
        <v>72</v>
      </c>
      <c r="F47" s="7" t="s">
        <v>73</v>
      </c>
      <c r="G47" s="17">
        <f>IF(SUM(O47:AW47)&gt;0,SUM(O47:AW47)+100,0)</f>
        <v>123</v>
      </c>
      <c r="H47" s="14">
        <f>IFERROR(SUM(O47:AW47)/35, "")</f>
        <v>0.65714285714285714</v>
      </c>
      <c r="I47" s="13" t="str">
        <f>IF(H47&gt;=2.8,"Legendary",IF(H47&gt;=2,"Avenger",IF(H47&gt;=1,"Superhero","Hero")))</f>
        <v>Hero</v>
      </c>
      <c r="J47" s="13" t="s">
        <v>74</v>
      </c>
      <c r="K47" s="13" t="s">
        <v>74</v>
      </c>
      <c r="L47" s="13" t="s">
        <v>75</v>
      </c>
      <c r="M47" s="13" t="s">
        <v>75</v>
      </c>
      <c r="N47" s="13" t="s">
        <v>74</v>
      </c>
      <c r="O47" s="15">
        <v>1</v>
      </c>
      <c r="P47" s="15">
        <v>1</v>
      </c>
      <c r="Q47" s="15">
        <v>1</v>
      </c>
      <c r="R47" s="15">
        <v>0</v>
      </c>
      <c r="S47" s="15">
        <v>1</v>
      </c>
      <c r="T47" s="15">
        <v>1</v>
      </c>
      <c r="U47" s="15">
        <v>2</v>
      </c>
      <c r="V47" s="15">
        <v>0</v>
      </c>
      <c r="W47" s="15">
        <v>0</v>
      </c>
      <c r="X47" s="15">
        <v>1</v>
      </c>
      <c r="Y47" s="15">
        <v>1</v>
      </c>
      <c r="Z47" s="15">
        <v>1</v>
      </c>
      <c r="AA47" s="15">
        <v>1</v>
      </c>
      <c r="AB47" s="15">
        <v>0</v>
      </c>
      <c r="AC47" s="15">
        <v>1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1</v>
      </c>
      <c r="AJ47" s="15">
        <v>1</v>
      </c>
      <c r="AK47" s="15">
        <v>3</v>
      </c>
      <c r="AL47" s="15">
        <v>3</v>
      </c>
      <c r="AM47" s="15">
        <v>1</v>
      </c>
      <c r="AN47" s="13">
        <v>0</v>
      </c>
      <c r="AO47" s="15">
        <v>0</v>
      </c>
      <c r="AP47" s="15">
        <v>0</v>
      </c>
      <c r="AQ47" s="15">
        <v>0</v>
      </c>
      <c r="AR47" s="15">
        <v>1</v>
      </c>
      <c r="AS47" s="15">
        <v>0</v>
      </c>
      <c r="AT47" s="15">
        <v>0</v>
      </c>
      <c r="AU47" s="15">
        <v>0</v>
      </c>
      <c r="AV47" s="15">
        <v>0</v>
      </c>
      <c r="AW47" s="15">
        <v>1</v>
      </c>
      <c r="AX47" s="15" t="s">
        <v>76</v>
      </c>
      <c r="AY47" s="15" t="s">
        <v>269</v>
      </c>
      <c r="AZ47" s="15"/>
      <c r="BA47" s="15"/>
      <c r="BB47" s="15" t="s">
        <v>280</v>
      </c>
      <c r="BC47" s="15" t="s">
        <v>281</v>
      </c>
      <c r="BD47" s="5">
        <v>43556</v>
      </c>
      <c r="BE47" s="14">
        <f ca="1">IF(ISBLANK($BD47),"",(TODAY()-$BD47)/30)</f>
        <v>11.366666666666667</v>
      </c>
      <c r="BF47" s="29">
        <v>118</v>
      </c>
      <c r="BG47" s="29">
        <v>123</v>
      </c>
      <c r="BH47" s="15">
        <v>123</v>
      </c>
      <c r="BI47" s="28">
        <f>BH47-BG47</f>
        <v>0</v>
      </c>
    </row>
    <row r="48" spans="1:62">
      <c r="A48" s="1">
        <f>ROW()-2</f>
        <v>46</v>
      </c>
      <c r="B48" s="4" t="s">
        <v>282</v>
      </c>
      <c r="C48" s="15" t="s">
        <v>283</v>
      </c>
      <c r="D48" s="15" t="s">
        <v>115</v>
      </c>
      <c r="E48" s="15" t="s">
        <v>144</v>
      </c>
      <c r="F48" s="7" t="s">
        <v>73</v>
      </c>
      <c r="G48" s="17">
        <f>IF(SUM(O48:AW48)&gt;0,SUM(O48:AW48)+100,0)</f>
        <v>121</v>
      </c>
      <c r="H48" s="14">
        <f>IFERROR(SUM(O48:AW48)/35, "")</f>
        <v>0.6</v>
      </c>
      <c r="I48" s="13" t="str">
        <f>IF(H48&gt;=2.8,"Legendary",IF(H48&gt;=2,"Avenger",IF(H48&gt;=1,"Superhero","Hero")))</f>
        <v>Hero</v>
      </c>
      <c r="J48" s="13" t="s">
        <v>75</v>
      </c>
      <c r="K48" s="13" t="s">
        <v>75</v>
      </c>
      <c r="L48" s="13" t="s">
        <v>75</v>
      </c>
      <c r="M48" s="13" t="s">
        <v>75</v>
      </c>
      <c r="N48" s="13" t="s">
        <v>75</v>
      </c>
      <c r="O48" s="15">
        <v>1</v>
      </c>
      <c r="P48" s="15">
        <v>1</v>
      </c>
      <c r="Q48" s="15">
        <v>2</v>
      </c>
      <c r="R48" s="15">
        <v>3</v>
      </c>
      <c r="S48" s="15">
        <v>2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1</v>
      </c>
      <c r="AA48" s="15">
        <v>3</v>
      </c>
      <c r="AB48" s="15">
        <v>0</v>
      </c>
      <c r="AC48" s="15">
        <v>1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1</v>
      </c>
      <c r="AK48" s="15">
        <v>0</v>
      </c>
      <c r="AL48" s="15">
        <v>0</v>
      </c>
      <c r="AM48" s="15">
        <v>0</v>
      </c>
      <c r="AN48" s="13">
        <v>0</v>
      </c>
      <c r="AO48" s="15">
        <v>0</v>
      </c>
      <c r="AP48" s="15">
        <v>0</v>
      </c>
      <c r="AQ48" s="15">
        <v>0</v>
      </c>
      <c r="AR48" s="15">
        <v>1</v>
      </c>
      <c r="AS48" s="15">
        <v>0</v>
      </c>
      <c r="AT48" s="15">
        <v>3</v>
      </c>
      <c r="AU48" s="15">
        <v>1</v>
      </c>
      <c r="AV48" s="15">
        <v>0</v>
      </c>
      <c r="AW48" s="15">
        <v>0</v>
      </c>
      <c r="AX48" s="15" t="s">
        <v>145</v>
      </c>
      <c r="AY48" s="16" t="s">
        <v>284</v>
      </c>
      <c r="AZ48" s="16" t="s">
        <v>285</v>
      </c>
      <c r="BA48" s="16" t="s">
        <v>285</v>
      </c>
      <c r="BB48" s="15" t="s">
        <v>105</v>
      </c>
      <c r="BC48" s="13" t="s">
        <v>149</v>
      </c>
      <c r="BD48" s="5">
        <v>43811</v>
      </c>
      <c r="BE48" s="14">
        <f ca="1">IF(ISBLANK($BD48),"",(TODAY()-$BD48)/30)</f>
        <v>2.8666666666666667</v>
      </c>
      <c r="BF48" s="29" t="s">
        <v>115</v>
      </c>
      <c r="BG48" s="29">
        <v>121</v>
      </c>
      <c r="BH48" s="15">
        <v>121</v>
      </c>
      <c r="BI48" s="28">
        <f>BH48-BG48</f>
        <v>0</v>
      </c>
    </row>
    <row r="49" spans="1:61">
      <c r="A49" s="1">
        <f>ROW()-2</f>
        <v>47</v>
      </c>
      <c r="B49" s="4" t="s">
        <v>286</v>
      </c>
      <c r="C49" s="15" t="s">
        <v>98</v>
      </c>
      <c r="D49" s="15" t="s">
        <v>287</v>
      </c>
      <c r="E49" s="15" t="s">
        <v>72</v>
      </c>
      <c r="F49" s="7" t="s">
        <v>121</v>
      </c>
      <c r="G49" s="17">
        <f>IF(SUM(O49:AW49)&gt;0,SUM(O49:AW49)+100,0)</f>
        <v>120</v>
      </c>
      <c r="H49" s="14">
        <f>IFERROR(SUM(O49:AW49)/35, "")</f>
        <v>0.5714285714285714</v>
      </c>
      <c r="I49" s="13" t="str">
        <f>IF(H49&gt;=2.8,"Legendary",IF(H49&gt;=2,"Avenger",IF(H49&gt;=1,"Superhero","Hero")))</f>
        <v>Hero</v>
      </c>
      <c r="J49" s="13" t="s">
        <v>75</v>
      </c>
      <c r="K49" s="13" t="s">
        <v>75</v>
      </c>
      <c r="L49" s="13" t="s">
        <v>75</v>
      </c>
      <c r="M49" s="13" t="s">
        <v>75</v>
      </c>
      <c r="N49" s="13" t="s">
        <v>74</v>
      </c>
      <c r="O49" s="15">
        <v>1</v>
      </c>
      <c r="P49" s="15">
        <v>1</v>
      </c>
      <c r="Q49" s="15">
        <v>1</v>
      </c>
      <c r="R49" s="15">
        <v>0</v>
      </c>
      <c r="S49" s="15">
        <v>2</v>
      </c>
      <c r="T49" s="15">
        <v>2</v>
      </c>
      <c r="U49" s="15">
        <v>1</v>
      </c>
      <c r="V49" s="15">
        <v>1</v>
      </c>
      <c r="W49" s="15">
        <v>1</v>
      </c>
      <c r="X49" s="15">
        <v>1</v>
      </c>
      <c r="Y49" s="15">
        <v>1</v>
      </c>
      <c r="Z49" s="15">
        <v>1</v>
      </c>
      <c r="AA49" s="15">
        <v>0</v>
      </c>
      <c r="AB49" s="15">
        <v>0</v>
      </c>
      <c r="AC49" s="15">
        <v>1</v>
      </c>
      <c r="AD49" s="15">
        <v>0</v>
      </c>
      <c r="AE49" s="15">
        <v>0</v>
      </c>
      <c r="AF49" s="15">
        <v>1</v>
      </c>
      <c r="AG49" s="15">
        <v>1</v>
      </c>
      <c r="AH49" s="15">
        <v>1</v>
      </c>
      <c r="AI49" s="15">
        <v>0</v>
      </c>
      <c r="AJ49" s="15">
        <v>0</v>
      </c>
      <c r="AK49" s="15">
        <v>0</v>
      </c>
      <c r="AL49" s="15">
        <v>1</v>
      </c>
      <c r="AM49" s="15">
        <v>1</v>
      </c>
      <c r="AN49" s="13">
        <v>0</v>
      </c>
      <c r="AO49" s="15">
        <v>0</v>
      </c>
      <c r="AP49" s="15">
        <v>0</v>
      </c>
      <c r="AQ49" s="15">
        <v>0</v>
      </c>
      <c r="AR49" s="15">
        <v>1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 t="s">
        <v>76</v>
      </c>
      <c r="AY49" s="15" t="s">
        <v>288</v>
      </c>
      <c r="AZ49" s="15" t="s">
        <v>289</v>
      </c>
      <c r="BA49" s="15" t="s">
        <v>290</v>
      </c>
      <c r="BB49" s="15" t="s">
        <v>228</v>
      </c>
      <c r="BC49" s="15" t="s">
        <v>104</v>
      </c>
      <c r="BD49" s="5">
        <v>43481</v>
      </c>
      <c r="BE49" s="14">
        <f ca="1">IF(ISBLANK($BD49),"",(TODAY()-$BD49)/30)</f>
        <v>13.866666666666667</v>
      </c>
      <c r="BF49" s="29">
        <v>129</v>
      </c>
      <c r="BG49" s="29">
        <v>119</v>
      </c>
      <c r="BH49" s="15">
        <v>120</v>
      </c>
      <c r="BI49" s="28">
        <f>BH49-BG49</f>
        <v>1</v>
      </c>
    </row>
    <row r="50" spans="1:61">
      <c r="A50" s="1">
        <f>ROW()-2</f>
        <v>48</v>
      </c>
      <c r="B50" s="4" t="s">
        <v>291</v>
      </c>
      <c r="C50" s="15" t="s">
        <v>255</v>
      </c>
      <c r="D50" s="15" t="s">
        <v>292</v>
      </c>
      <c r="E50" s="15" t="s">
        <v>86</v>
      </c>
      <c r="F50" s="7" t="s">
        <v>73</v>
      </c>
      <c r="G50" s="17">
        <f>IF(SUM(O50:AW50)&gt;0,SUM(O50:AW50)+100,0)</f>
        <v>119</v>
      </c>
      <c r="H50" s="14">
        <f>IFERROR(SUM(O50:AW50)/35, "")</f>
        <v>0.54285714285714282</v>
      </c>
      <c r="I50" s="13" t="str">
        <f>IF(H50&gt;=2.8,"Legendary",IF(H50&gt;=2,"Avenger",IF(H50&gt;=1,"Superhero","Hero")))</f>
        <v>Hero</v>
      </c>
      <c r="J50" s="13" t="s">
        <v>87</v>
      </c>
      <c r="K50" s="13" t="s">
        <v>87</v>
      </c>
      <c r="L50" s="13" t="s">
        <v>75</v>
      </c>
      <c r="M50" s="13" t="s">
        <v>75</v>
      </c>
      <c r="N50" s="13" t="s">
        <v>74</v>
      </c>
      <c r="O50" s="15">
        <v>1</v>
      </c>
      <c r="P50" s="15">
        <v>1</v>
      </c>
      <c r="Q50" s="15">
        <v>2</v>
      </c>
      <c r="R50" s="15">
        <v>0</v>
      </c>
      <c r="S50" s="15">
        <v>0</v>
      </c>
      <c r="T50" s="15">
        <v>0</v>
      </c>
      <c r="U50" s="15">
        <v>1</v>
      </c>
      <c r="V50" s="15">
        <v>0</v>
      </c>
      <c r="W50" s="15">
        <v>1</v>
      </c>
      <c r="X50" s="15">
        <v>2</v>
      </c>
      <c r="Y50" s="15">
        <v>0</v>
      </c>
      <c r="Z50" s="15">
        <v>0</v>
      </c>
      <c r="AA50" s="15">
        <v>2</v>
      </c>
      <c r="AB50" s="15">
        <v>1</v>
      </c>
      <c r="AC50" s="15">
        <v>1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1</v>
      </c>
      <c r="AK50" s="15">
        <v>0</v>
      </c>
      <c r="AL50" s="15">
        <v>0</v>
      </c>
      <c r="AM50" s="15">
        <v>1</v>
      </c>
      <c r="AN50" s="13">
        <v>1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3</v>
      </c>
      <c r="AU50" s="15">
        <v>1</v>
      </c>
      <c r="AV50" s="15">
        <v>0</v>
      </c>
      <c r="AW50" s="15">
        <v>0</v>
      </c>
      <c r="AX50" s="15" t="s">
        <v>88</v>
      </c>
      <c r="AY50" s="15" t="s">
        <v>293</v>
      </c>
      <c r="AZ50" s="15" t="s">
        <v>294</v>
      </c>
      <c r="BA50" s="15" t="s">
        <v>259</v>
      </c>
      <c r="BB50" s="15" t="s">
        <v>260</v>
      </c>
      <c r="BC50" s="15" t="s">
        <v>157</v>
      </c>
      <c r="BD50" s="5">
        <v>43586</v>
      </c>
      <c r="BE50" s="14">
        <f ca="1">IF(ISBLANK($BD50),"",(TODAY()-$BD50)/30)</f>
        <v>10.366666666666667</v>
      </c>
      <c r="BF50" s="29">
        <v>123</v>
      </c>
      <c r="BG50" s="29">
        <v>118</v>
      </c>
      <c r="BH50" s="15">
        <v>119</v>
      </c>
      <c r="BI50" s="28">
        <f>BH50-BG50</f>
        <v>1</v>
      </c>
    </row>
    <row r="51" spans="1:61">
      <c r="A51" s="1">
        <f>ROW()-2</f>
        <v>49</v>
      </c>
      <c r="B51" s="4" t="s">
        <v>295</v>
      </c>
      <c r="C51" s="15" t="s">
        <v>296</v>
      </c>
      <c r="D51" s="15" t="s">
        <v>295</v>
      </c>
      <c r="E51" s="15" t="s">
        <v>72</v>
      </c>
      <c r="F51" s="7" t="s">
        <v>297</v>
      </c>
      <c r="G51" s="17">
        <f>IF(SUM(O51:AW51)&gt;0,SUM(O51:AW51)+100,0)</f>
        <v>119</v>
      </c>
      <c r="H51" s="14">
        <f>IFERROR(SUM(O51:AW51)/35, "")</f>
        <v>0.54285714285714282</v>
      </c>
      <c r="I51" s="13" t="str">
        <f>IF(H51&gt;=2.8,"Legendary",IF(H51&gt;=2,"Avenger",IF(H51&gt;=1,"Superhero","Hero")))</f>
        <v>Hero</v>
      </c>
      <c r="J51" s="13" t="s">
        <v>74</v>
      </c>
      <c r="K51" s="13" t="s">
        <v>74</v>
      </c>
      <c r="L51" s="13" t="s">
        <v>75</v>
      </c>
      <c r="M51" s="13" t="s">
        <v>75</v>
      </c>
      <c r="N51" s="13" t="s">
        <v>75</v>
      </c>
      <c r="O51" s="15">
        <v>1</v>
      </c>
      <c r="P51" s="15">
        <v>0</v>
      </c>
      <c r="Q51" s="15">
        <v>1</v>
      </c>
      <c r="R51" s="15">
        <v>0</v>
      </c>
      <c r="S51" s="15">
        <v>1</v>
      </c>
      <c r="T51" s="15">
        <v>1</v>
      </c>
      <c r="U51" s="15">
        <v>1</v>
      </c>
      <c r="V51" s="15">
        <v>1</v>
      </c>
      <c r="W51" s="15">
        <v>0</v>
      </c>
      <c r="X51" s="15">
        <v>1</v>
      </c>
      <c r="Y51" s="15">
        <v>1</v>
      </c>
      <c r="Z51" s="15">
        <v>1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</v>
      </c>
      <c r="AH51" s="15">
        <v>1</v>
      </c>
      <c r="AI51" s="15">
        <v>1</v>
      </c>
      <c r="AJ51" s="15">
        <v>1</v>
      </c>
      <c r="AK51" s="15">
        <v>3</v>
      </c>
      <c r="AL51" s="15">
        <v>1</v>
      </c>
      <c r="AM51" s="15">
        <v>0</v>
      </c>
      <c r="AN51" s="13">
        <v>0</v>
      </c>
      <c r="AO51" s="15">
        <v>0</v>
      </c>
      <c r="AP51" s="15">
        <v>0</v>
      </c>
      <c r="AQ51" s="15">
        <v>0</v>
      </c>
      <c r="AR51" s="15">
        <v>1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 t="s">
        <v>76</v>
      </c>
      <c r="AY51" s="15" t="s">
        <v>115</v>
      </c>
      <c r="AZ51" s="15"/>
      <c r="BA51" s="15"/>
      <c r="BB51" s="15" t="s">
        <v>252</v>
      </c>
      <c r="BC51" s="13" t="s">
        <v>253</v>
      </c>
      <c r="BD51" s="5">
        <v>43678</v>
      </c>
      <c r="BE51" s="14">
        <f ca="1">IF(ISBLANK($BD51),"",(TODAY()-$BD51)/30)</f>
        <v>7.3</v>
      </c>
      <c r="BF51" s="29">
        <v>125</v>
      </c>
      <c r="BG51" s="29">
        <v>119</v>
      </c>
      <c r="BH51" s="15">
        <v>119</v>
      </c>
      <c r="BI51" s="28">
        <f>BH51-BG51</f>
        <v>0</v>
      </c>
    </row>
    <row r="52" spans="1:61">
      <c r="A52" s="1">
        <f>ROW()-2</f>
        <v>50</v>
      </c>
      <c r="B52" s="4" t="s">
        <v>58</v>
      </c>
      <c r="C52" s="15" t="s">
        <v>296</v>
      </c>
      <c r="D52" s="15" t="s">
        <v>58</v>
      </c>
      <c r="E52" s="15" t="s">
        <v>72</v>
      </c>
      <c r="F52" s="7" t="s">
        <v>297</v>
      </c>
      <c r="G52" s="17">
        <f>IF(SUM(O52:AW52)&gt;0,SUM(O52:AW52)+100,0)</f>
        <v>119</v>
      </c>
      <c r="H52" s="14">
        <f>IFERROR(SUM(O52:AW52)/35, "")</f>
        <v>0.54285714285714282</v>
      </c>
      <c r="I52" s="13" t="str">
        <f>IF(H52&gt;=2.8,"Legendary",IF(H52&gt;=2,"Avenger",IF(H52&gt;=1,"Superhero","Hero")))</f>
        <v>Hero</v>
      </c>
      <c r="J52" s="13" t="s">
        <v>75</v>
      </c>
      <c r="K52" s="13" t="s">
        <v>75</v>
      </c>
      <c r="L52" s="13" t="s">
        <v>75</v>
      </c>
      <c r="M52" s="13" t="s">
        <v>75</v>
      </c>
      <c r="N52" s="13" t="s">
        <v>74</v>
      </c>
      <c r="O52" s="15">
        <v>1</v>
      </c>
      <c r="P52" s="15">
        <v>1</v>
      </c>
      <c r="Q52" s="15">
        <v>1</v>
      </c>
      <c r="R52" s="15">
        <v>0</v>
      </c>
      <c r="S52" s="15">
        <v>1</v>
      </c>
      <c r="T52" s="15">
        <v>1</v>
      </c>
      <c r="U52" s="15">
        <v>1</v>
      </c>
      <c r="V52" s="15">
        <v>1</v>
      </c>
      <c r="W52" s="15">
        <v>0</v>
      </c>
      <c r="X52" s="15">
        <v>0</v>
      </c>
      <c r="Y52" s="15">
        <v>1</v>
      </c>
      <c r="Z52" s="15">
        <v>1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1</v>
      </c>
      <c r="AG52" s="15">
        <v>1</v>
      </c>
      <c r="AH52" s="15">
        <v>1</v>
      </c>
      <c r="AI52" s="15">
        <v>1</v>
      </c>
      <c r="AJ52" s="15">
        <v>1</v>
      </c>
      <c r="AK52" s="15">
        <v>3</v>
      </c>
      <c r="AL52" s="15">
        <v>1</v>
      </c>
      <c r="AM52" s="15">
        <v>0</v>
      </c>
      <c r="AN52" s="13">
        <v>0</v>
      </c>
      <c r="AO52" s="15">
        <v>0</v>
      </c>
      <c r="AP52" s="15">
        <v>0</v>
      </c>
      <c r="AQ52" s="15">
        <v>0</v>
      </c>
      <c r="AR52" s="15">
        <v>1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 t="s">
        <v>76</v>
      </c>
      <c r="AY52" s="15" t="s">
        <v>298</v>
      </c>
      <c r="AZ52" s="15"/>
      <c r="BA52" s="15"/>
      <c r="BB52" s="15" t="s">
        <v>252</v>
      </c>
      <c r="BC52" s="15" t="s">
        <v>253</v>
      </c>
      <c r="BD52" s="5">
        <v>43678</v>
      </c>
      <c r="BE52" s="14">
        <f ca="1">IF(ISBLANK($BD52),"",(TODAY()-$BD52)/30)</f>
        <v>7.3</v>
      </c>
      <c r="BF52" s="29">
        <v>124</v>
      </c>
      <c r="BG52" s="29">
        <v>119</v>
      </c>
      <c r="BH52" s="15">
        <v>119</v>
      </c>
      <c r="BI52" s="28">
        <f>BH52-BG52</f>
        <v>0</v>
      </c>
    </row>
    <row r="53" spans="1:61">
      <c r="A53" s="1">
        <f>ROW()-2</f>
        <v>51</v>
      </c>
      <c r="B53" s="4" t="s">
        <v>299</v>
      </c>
      <c r="C53" s="15" t="s">
        <v>255</v>
      </c>
      <c r="D53" s="15" t="s">
        <v>300</v>
      </c>
      <c r="E53" s="15" t="s">
        <v>72</v>
      </c>
      <c r="F53" s="7" t="s">
        <v>73</v>
      </c>
      <c r="G53" s="17">
        <f>IF(SUM(O53:AW53)&gt;0,SUM(O53:AW53)+100,0)</f>
        <v>118</v>
      </c>
      <c r="H53" s="14">
        <f>IFERROR(SUM(O53:AW53)/35, "")</f>
        <v>0.51428571428571423</v>
      </c>
      <c r="I53" s="13" t="str">
        <f>IF(H53&gt;=2.8,"Legendary",IF(H53&gt;=2,"Avenger",IF(H53&gt;=1,"Superhero","Hero")))</f>
        <v>Hero</v>
      </c>
      <c r="J53" s="13" t="s">
        <v>74</v>
      </c>
      <c r="K53" s="13" t="s">
        <v>74</v>
      </c>
      <c r="L53" s="13" t="s">
        <v>75</v>
      </c>
      <c r="M53" s="13" t="s">
        <v>75</v>
      </c>
      <c r="N53" s="13" t="s">
        <v>74</v>
      </c>
      <c r="O53" s="15">
        <v>1</v>
      </c>
      <c r="P53" s="15">
        <v>1</v>
      </c>
      <c r="Q53" s="15">
        <v>1</v>
      </c>
      <c r="R53" s="15">
        <v>0</v>
      </c>
      <c r="S53" s="15">
        <v>0</v>
      </c>
      <c r="T53" s="15">
        <v>0</v>
      </c>
      <c r="U53" s="15">
        <v>2</v>
      </c>
      <c r="V53" s="15">
        <v>0</v>
      </c>
      <c r="W53" s="15">
        <v>1</v>
      </c>
      <c r="X53" s="15">
        <v>2</v>
      </c>
      <c r="Y53" s="15">
        <v>0</v>
      </c>
      <c r="Z53" s="15">
        <v>0</v>
      </c>
      <c r="AA53" s="15">
        <v>2</v>
      </c>
      <c r="AB53" s="15">
        <v>2</v>
      </c>
      <c r="AC53" s="15">
        <v>1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1</v>
      </c>
      <c r="AK53" s="15">
        <v>0</v>
      </c>
      <c r="AL53" s="15">
        <v>0</v>
      </c>
      <c r="AM53" s="15">
        <v>1</v>
      </c>
      <c r="AN53" s="13">
        <v>0</v>
      </c>
      <c r="AO53" s="15">
        <v>0</v>
      </c>
      <c r="AP53" s="15">
        <v>0</v>
      </c>
      <c r="AQ53" s="15">
        <v>0</v>
      </c>
      <c r="AR53" s="15">
        <v>1</v>
      </c>
      <c r="AS53" s="15">
        <v>0</v>
      </c>
      <c r="AT53" s="15">
        <v>2</v>
      </c>
      <c r="AU53" s="15">
        <v>0</v>
      </c>
      <c r="AV53" s="15">
        <v>0</v>
      </c>
      <c r="AW53" s="15">
        <v>0</v>
      </c>
      <c r="AX53" s="15" t="s">
        <v>76</v>
      </c>
      <c r="AY53" s="15" t="s">
        <v>301</v>
      </c>
      <c r="AZ53" s="15" t="s">
        <v>258</v>
      </c>
      <c r="BA53" s="15" t="s">
        <v>259</v>
      </c>
      <c r="BB53" s="15" t="s">
        <v>260</v>
      </c>
      <c r="BC53" s="15" t="s">
        <v>157</v>
      </c>
      <c r="BD53" s="5">
        <v>43586</v>
      </c>
      <c r="BE53" s="14">
        <f ca="1">IF(ISBLANK($BD53),"",(TODAY()-$BD53)/30)</f>
        <v>10.366666666666667</v>
      </c>
      <c r="BF53" s="29">
        <v>122</v>
      </c>
      <c r="BG53" s="29">
        <v>118</v>
      </c>
      <c r="BH53" s="15">
        <v>118</v>
      </c>
      <c r="BI53" s="28">
        <f>BH53-BG53</f>
        <v>0</v>
      </c>
    </row>
    <row r="54" spans="1:61">
      <c r="A54" s="1">
        <f>ROW()-2</f>
        <v>52</v>
      </c>
      <c r="B54" s="4" t="s">
        <v>302</v>
      </c>
      <c r="C54" s="15" t="s">
        <v>296</v>
      </c>
      <c r="D54" s="15" t="s">
        <v>302</v>
      </c>
      <c r="E54" s="15" t="s">
        <v>72</v>
      </c>
      <c r="F54" s="7" t="s">
        <v>297</v>
      </c>
      <c r="G54" s="17">
        <f>IF(SUM(O54:AW54)&gt;0,SUM(O54:AW54)+100,0)</f>
        <v>118</v>
      </c>
      <c r="H54" s="14">
        <f>IFERROR(SUM(O54:AW54)/35, "")</f>
        <v>0.51428571428571423</v>
      </c>
      <c r="I54" s="13" t="str">
        <f>IF(H54&gt;=2.8,"Legendary",IF(H54&gt;=2,"Avenger",IF(H54&gt;=1,"Superhero","Hero")))</f>
        <v>Hero</v>
      </c>
      <c r="J54" s="13" t="s">
        <v>74</v>
      </c>
      <c r="K54" s="13" t="s">
        <v>74</v>
      </c>
      <c r="L54" s="13" t="s">
        <v>75</v>
      </c>
      <c r="M54" s="13" t="s">
        <v>75</v>
      </c>
      <c r="N54" s="13" t="s">
        <v>74</v>
      </c>
      <c r="O54" s="15">
        <v>1</v>
      </c>
      <c r="P54" s="15">
        <v>1</v>
      </c>
      <c r="Q54" s="15">
        <v>1</v>
      </c>
      <c r="R54" s="15">
        <v>0</v>
      </c>
      <c r="S54" s="15">
        <v>1</v>
      </c>
      <c r="T54" s="15">
        <v>1</v>
      </c>
      <c r="U54" s="15">
        <v>1</v>
      </c>
      <c r="V54" s="15">
        <v>1</v>
      </c>
      <c r="W54" s="15">
        <v>0</v>
      </c>
      <c r="X54" s="15">
        <v>0</v>
      </c>
      <c r="Y54" s="15">
        <v>1</v>
      </c>
      <c r="Z54" s="15">
        <v>1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1</v>
      </c>
      <c r="AH54" s="15">
        <v>1</v>
      </c>
      <c r="AI54" s="15">
        <v>1</v>
      </c>
      <c r="AJ54" s="15">
        <v>1</v>
      </c>
      <c r="AK54" s="15">
        <v>3</v>
      </c>
      <c r="AL54" s="15">
        <v>1</v>
      </c>
      <c r="AM54" s="15">
        <v>0</v>
      </c>
      <c r="AN54" s="13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 t="s">
        <v>76</v>
      </c>
      <c r="AY54" s="15" t="s">
        <v>298</v>
      </c>
      <c r="AZ54" s="15"/>
      <c r="BA54" s="15"/>
      <c r="BB54" s="15" t="s">
        <v>252</v>
      </c>
      <c r="BC54" s="15" t="s">
        <v>253</v>
      </c>
      <c r="BD54" s="5">
        <v>43678</v>
      </c>
      <c r="BE54" s="14">
        <f ca="1">IF(ISBLANK($BD54),"",(TODAY()-$BD54)/30)</f>
        <v>7.3</v>
      </c>
      <c r="BF54" s="29">
        <v>127</v>
      </c>
      <c r="BG54" s="29">
        <v>118</v>
      </c>
      <c r="BH54" s="15">
        <v>118</v>
      </c>
      <c r="BI54" s="28">
        <f>BH54-BG54</f>
        <v>0</v>
      </c>
    </row>
    <row r="55" spans="1:61">
      <c r="A55" s="1">
        <f>ROW()-2</f>
        <v>53</v>
      </c>
      <c r="B55" s="4" t="s">
        <v>303</v>
      </c>
      <c r="C55" s="15" t="s">
        <v>255</v>
      </c>
      <c r="D55" s="15" t="s">
        <v>266</v>
      </c>
      <c r="E55" s="15" t="s">
        <v>100</v>
      </c>
      <c r="F55" s="7" t="s">
        <v>73</v>
      </c>
      <c r="G55" s="17">
        <f>IF(SUM(O55:AW55)&gt;0,SUM(O55:AW55)+100,0)</f>
        <v>112</v>
      </c>
      <c r="H55" s="14">
        <f>IFERROR(SUM(O55:AW55)/35, "")</f>
        <v>0.34285714285714286</v>
      </c>
      <c r="I55" s="13" t="str">
        <f>IF(H55&gt;=2.8,"Legendary",IF(H55&gt;=2,"Avenger",IF(H55&gt;=1,"Superhero","Hero")))</f>
        <v>Hero</v>
      </c>
      <c r="J55" s="13" t="s">
        <v>75</v>
      </c>
      <c r="K55" s="13" t="s">
        <v>75</v>
      </c>
      <c r="L55" s="13" t="s">
        <v>75</v>
      </c>
      <c r="M55" s="13" t="s">
        <v>75</v>
      </c>
      <c r="N55" s="13" t="s">
        <v>75</v>
      </c>
      <c r="O55" s="15">
        <v>1</v>
      </c>
      <c r="P55" s="15">
        <v>0</v>
      </c>
      <c r="Q55" s="15">
        <v>0</v>
      </c>
      <c r="R55" s="15">
        <v>1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2</v>
      </c>
      <c r="AD55" s="15">
        <v>0</v>
      </c>
      <c r="AE55" s="15">
        <v>0</v>
      </c>
      <c r="AF55" s="15">
        <v>1</v>
      </c>
      <c r="AG55" s="15">
        <v>1</v>
      </c>
      <c r="AH55" s="15">
        <v>0</v>
      </c>
      <c r="AI55" s="15">
        <v>0</v>
      </c>
      <c r="AJ55" s="15">
        <v>1</v>
      </c>
      <c r="AK55" s="15">
        <v>0</v>
      </c>
      <c r="AL55" s="15">
        <v>0</v>
      </c>
      <c r="AM55" s="15">
        <v>1</v>
      </c>
      <c r="AN55" s="13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3</v>
      </c>
      <c r="AU55" s="15">
        <v>1</v>
      </c>
      <c r="AV55" s="15">
        <v>0</v>
      </c>
      <c r="AW55" s="15">
        <v>0</v>
      </c>
      <c r="AX55" s="15" t="s">
        <v>88</v>
      </c>
      <c r="AY55" s="16" t="s">
        <v>304</v>
      </c>
      <c r="AZ55" s="16" t="s">
        <v>258</v>
      </c>
      <c r="BA55" s="16" t="s">
        <v>259</v>
      </c>
      <c r="BB55" s="15" t="s">
        <v>260</v>
      </c>
      <c r="BC55" s="15" t="s">
        <v>157</v>
      </c>
      <c r="BD55" s="5">
        <v>43586</v>
      </c>
      <c r="BE55" s="14">
        <f ca="1">IF(ISBLANK($BD55),"",(TODAY()-$BD55)/30)</f>
        <v>10.366666666666667</v>
      </c>
      <c r="BF55" s="29">
        <v>0</v>
      </c>
      <c r="BG55" s="29">
        <v>112</v>
      </c>
      <c r="BH55" s="15">
        <v>112</v>
      </c>
      <c r="BI55" s="28">
        <f>BH55-BG55</f>
        <v>0</v>
      </c>
    </row>
    <row r="56" spans="1:61">
      <c r="A56" s="1">
        <f>ROW()-2</f>
        <v>54</v>
      </c>
      <c r="B56" s="4" t="s">
        <v>305</v>
      </c>
      <c r="C56" s="15" t="s">
        <v>306</v>
      </c>
      <c r="D56" s="13" t="s">
        <v>307</v>
      </c>
      <c r="E56" s="13" t="s">
        <v>120</v>
      </c>
      <c r="F56" s="7" t="s">
        <v>297</v>
      </c>
      <c r="G56" s="17">
        <f>IF(SUM(O56:AW56)&gt;0,SUM(O56:AW56)+100,0)</f>
        <v>106</v>
      </c>
      <c r="H56" s="14">
        <f>IFERROR(SUM(O56:AW56)/35, "")</f>
        <v>0.17142857142857143</v>
      </c>
      <c r="I56" s="13" t="str">
        <f>IF(H56&gt;=2.8,"Legendary",IF(H56&gt;=2,"Avenger",IF(H56&gt;=1,"Superhero","Hero")))</f>
        <v>Hero</v>
      </c>
      <c r="J56" s="13" t="s">
        <v>74</v>
      </c>
      <c r="K56" s="13" t="s">
        <v>74</v>
      </c>
      <c r="L56" s="13" t="s">
        <v>75</v>
      </c>
      <c r="M56" s="13" t="s">
        <v>74</v>
      </c>
      <c r="N56" s="13" t="s">
        <v>75</v>
      </c>
      <c r="O56" s="15">
        <v>0</v>
      </c>
      <c r="P56" s="15">
        <v>0</v>
      </c>
      <c r="Q56" s="15">
        <v>2</v>
      </c>
      <c r="R56" s="15">
        <v>2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1</v>
      </c>
      <c r="AM56" s="15">
        <v>0</v>
      </c>
      <c r="AN56" s="13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1</v>
      </c>
      <c r="AU56" s="15">
        <v>0</v>
      </c>
      <c r="AV56" s="15">
        <v>0</v>
      </c>
      <c r="AW56" s="15">
        <v>0</v>
      </c>
      <c r="AX56" s="13" t="s">
        <v>201</v>
      </c>
      <c r="AY56" s="15" t="s">
        <v>308</v>
      </c>
      <c r="AZ56" s="15"/>
      <c r="BA56" s="15" t="s">
        <v>309</v>
      </c>
      <c r="BB56" s="15" t="s">
        <v>310</v>
      </c>
      <c r="BC56" s="13" t="s">
        <v>203</v>
      </c>
      <c r="BD56" s="5">
        <v>43691</v>
      </c>
      <c r="BE56" s="14">
        <f ca="1">IF(ISBLANK($BD56),"",(TODAY()-$BD56)/30)</f>
        <v>6.8666666666666663</v>
      </c>
      <c r="BF56" s="29">
        <v>118</v>
      </c>
      <c r="BG56" s="29">
        <v>106</v>
      </c>
      <c r="BH56" s="15">
        <v>106</v>
      </c>
      <c r="BI56" s="28">
        <f>BH56-BG56</f>
        <v>0</v>
      </c>
    </row>
    <row r="57" spans="1:61">
      <c r="A57" s="1">
        <f>ROW()-2</f>
        <v>55</v>
      </c>
      <c r="B57" s="4" t="s">
        <v>311</v>
      </c>
      <c r="C57" s="15" t="s">
        <v>211</v>
      </c>
      <c r="D57" s="13" t="s">
        <v>115</v>
      </c>
      <c r="E57" s="13" t="s">
        <v>72</v>
      </c>
      <c r="F57" s="7" t="s">
        <v>297</v>
      </c>
      <c r="G57" s="17">
        <f>IF(SUM(O57:AW57)&gt;0,SUM(O57:AW57)+100,0)</f>
        <v>0</v>
      </c>
      <c r="H57" s="14">
        <f>IFERROR(SUM(O57:AW57)/35, "")</f>
        <v>0</v>
      </c>
      <c r="I57" s="13" t="str">
        <f>IF(H57&gt;=2.8,"Legendary",IF(H57&gt;=2,"Avenger",IF(H57&gt;=1,"Superhero","Hero")))</f>
        <v>Hero</v>
      </c>
      <c r="J57" s="13" t="s">
        <v>75</v>
      </c>
      <c r="K57" s="13" t="s">
        <v>75</v>
      </c>
      <c r="L57" s="13" t="s">
        <v>75</v>
      </c>
      <c r="M57" s="13" t="s">
        <v>75</v>
      </c>
      <c r="N57" s="13" t="s">
        <v>75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3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 t="s">
        <v>76</v>
      </c>
      <c r="AY57" s="16" t="s">
        <v>312</v>
      </c>
      <c r="AZ57" s="16" t="s">
        <v>213</v>
      </c>
      <c r="BA57" s="16" t="s">
        <v>214</v>
      </c>
      <c r="BB57" s="15" t="s">
        <v>118</v>
      </c>
      <c r="BC57" s="13" t="s">
        <v>215</v>
      </c>
      <c r="BD57" s="5"/>
      <c r="BE57" s="14"/>
      <c r="BF57" s="29">
        <v>0</v>
      </c>
      <c r="BG57" s="29">
        <v>0</v>
      </c>
      <c r="BH57" s="15">
        <v>0</v>
      </c>
      <c r="BI57" s="28">
        <f>BH57-BG57</f>
        <v>0</v>
      </c>
    </row>
    <row r="58" spans="1:61">
      <c r="A58" s="1">
        <f>ROW()-2</f>
        <v>56</v>
      </c>
      <c r="B58" s="4" t="s">
        <v>51</v>
      </c>
      <c r="C58" s="15" t="s">
        <v>98</v>
      </c>
      <c r="D58" s="13" t="s">
        <v>51</v>
      </c>
      <c r="E58" s="13" t="s">
        <v>120</v>
      </c>
      <c r="F58" s="7" t="s">
        <v>297</v>
      </c>
      <c r="G58" s="17">
        <f>IF(SUM(O58:AW58)&gt;0,SUM(O58:AW58)+100,0)</f>
        <v>0</v>
      </c>
      <c r="H58" s="14">
        <f>IFERROR(SUM(O58:AW58)/35, "")</f>
        <v>0</v>
      </c>
      <c r="I58" s="13" t="str">
        <f>IF(H58&gt;=2.8,"Legendary",IF(H58&gt;=2,"Avenger",IF(H58&gt;=1,"Superhero","Hero")))</f>
        <v>Hero</v>
      </c>
      <c r="J58" s="13" t="s">
        <v>74</v>
      </c>
      <c r="K58" s="13" t="s">
        <v>74</v>
      </c>
      <c r="L58" s="13" t="s">
        <v>75</v>
      </c>
      <c r="M58" s="13" t="s">
        <v>75</v>
      </c>
      <c r="N58" s="13" t="s">
        <v>75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3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 t="s">
        <v>101</v>
      </c>
      <c r="AY58" s="15" t="s">
        <v>313</v>
      </c>
      <c r="AZ58" s="15" t="s">
        <v>313</v>
      </c>
      <c r="BA58" s="15" t="s">
        <v>314</v>
      </c>
      <c r="BB58" s="15" t="s">
        <v>104</v>
      </c>
      <c r="BC58" s="13" t="s">
        <v>104</v>
      </c>
      <c r="BD58" s="5">
        <v>43481</v>
      </c>
      <c r="BE58" s="14">
        <f ca="1">IF(ISBLANK($BD58),"",(TODAY()-$BD58)/30)</f>
        <v>13.866666666666667</v>
      </c>
      <c r="BF58" s="29">
        <v>109</v>
      </c>
      <c r="BG58" s="29">
        <v>0</v>
      </c>
      <c r="BH58" s="15">
        <v>0</v>
      </c>
      <c r="BI58" s="28">
        <f>BH58-BG58</f>
        <v>0</v>
      </c>
    </row>
    <row r="59" spans="1:61">
      <c r="A59" s="1">
        <f>ROW()-2</f>
        <v>57</v>
      </c>
      <c r="B59" s="4" t="s">
        <v>315</v>
      </c>
      <c r="C59" s="15" t="s">
        <v>98</v>
      </c>
      <c r="D59" s="13" t="s">
        <v>315</v>
      </c>
      <c r="E59" s="13" t="s">
        <v>120</v>
      </c>
      <c r="F59" s="7" t="s">
        <v>297</v>
      </c>
      <c r="G59" s="17">
        <f>IF(SUM(O59:AW59)&gt;0,SUM(O59:AW59)+100,0)</f>
        <v>0</v>
      </c>
      <c r="H59" s="14">
        <f>IFERROR(SUM(O59:AW59)/35, "")</f>
        <v>0</v>
      </c>
      <c r="I59" s="13" t="str">
        <f>IF(H59&gt;=2.8,"Legendary",IF(H59&gt;=2,"Avenger",IF(H59&gt;=1,"Superhero","Hero")))</f>
        <v>Hero</v>
      </c>
      <c r="J59" s="13" t="s">
        <v>74</v>
      </c>
      <c r="K59" s="13" t="s">
        <v>74</v>
      </c>
      <c r="L59" s="13" t="s">
        <v>75</v>
      </c>
      <c r="M59" s="13" t="s">
        <v>75</v>
      </c>
      <c r="N59" s="13" t="s">
        <v>75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3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 t="s">
        <v>101</v>
      </c>
      <c r="AY59" s="15" t="s">
        <v>123</v>
      </c>
      <c r="AZ59" s="15" t="s">
        <v>123</v>
      </c>
      <c r="BA59" s="15" t="s">
        <v>124</v>
      </c>
      <c r="BB59" s="15" t="s">
        <v>141</v>
      </c>
      <c r="BC59" s="13" t="s">
        <v>104</v>
      </c>
      <c r="BD59" s="5">
        <v>43481</v>
      </c>
      <c r="BE59" s="14">
        <f ca="1">IF(ISBLANK($BD59),"",(TODAY()-$BD59)/30)</f>
        <v>13.866666666666667</v>
      </c>
      <c r="BF59" s="29">
        <v>109</v>
      </c>
      <c r="BG59" s="29">
        <v>0</v>
      </c>
      <c r="BH59" s="15">
        <v>0</v>
      </c>
      <c r="BI59" s="28">
        <f>BH59-BG59</f>
        <v>0</v>
      </c>
    </row>
    <row r="60" spans="1:61">
      <c r="A60" s="1">
        <f>ROW()-2</f>
        <v>58</v>
      </c>
      <c r="B60" s="4" t="s">
        <v>316</v>
      </c>
      <c r="C60" s="15" t="s">
        <v>98</v>
      </c>
      <c r="D60" s="13" t="s">
        <v>316</v>
      </c>
      <c r="E60" s="13" t="s">
        <v>120</v>
      </c>
      <c r="F60" s="7" t="s">
        <v>297</v>
      </c>
      <c r="G60" s="17">
        <f>IF(SUM(O60:AW60)&gt;0,SUM(O60:AW60)+100,0)</f>
        <v>0</v>
      </c>
      <c r="H60" s="14">
        <f>IFERROR(SUM(O60:AW60)/35, "")</f>
        <v>0</v>
      </c>
      <c r="I60" s="13" t="str">
        <f>IF(H60&gt;=2.8,"Legendary",IF(H60&gt;=2,"Avenger",IF(H60&gt;=1,"Superhero","Hero")))</f>
        <v>Hero</v>
      </c>
      <c r="J60" s="13" t="s">
        <v>74</v>
      </c>
      <c r="K60" s="13" t="s">
        <v>74</v>
      </c>
      <c r="L60" s="13" t="s">
        <v>75</v>
      </c>
      <c r="M60" s="13" t="s">
        <v>75</v>
      </c>
      <c r="N60" s="13" t="s">
        <v>75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3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3" t="s">
        <v>101</v>
      </c>
      <c r="AY60" s="15" t="s">
        <v>317</v>
      </c>
      <c r="AZ60" s="15" t="s">
        <v>318</v>
      </c>
      <c r="BA60" s="15" t="s">
        <v>319</v>
      </c>
      <c r="BB60" s="15" t="s">
        <v>141</v>
      </c>
      <c r="BC60" s="13" t="s">
        <v>104</v>
      </c>
      <c r="BD60" s="5">
        <v>43607</v>
      </c>
      <c r="BE60" s="14">
        <f ca="1">IF(ISBLANK($BD60),"",(TODAY()-$BD60)/30)</f>
        <v>9.6666666666666661</v>
      </c>
      <c r="BF60" s="29">
        <v>109</v>
      </c>
      <c r="BG60" s="29">
        <v>0</v>
      </c>
      <c r="BH60" s="15">
        <v>0</v>
      </c>
      <c r="BI60" s="28">
        <f>BH60-BG60</f>
        <v>0</v>
      </c>
    </row>
    <row r="61" spans="1:61">
      <c r="A61" s="1">
        <f>ROW()-2</f>
        <v>59</v>
      </c>
      <c r="B61" s="4" t="s">
        <v>320</v>
      </c>
      <c r="C61" s="15" t="s">
        <v>98</v>
      </c>
      <c r="D61" s="13" t="s">
        <v>321</v>
      </c>
      <c r="E61" s="13" t="s">
        <v>72</v>
      </c>
      <c r="F61" s="7" t="s">
        <v>297</v>
      </c>
      <c r="G61" s="17">
        <f>IF(SUM(O61:AW61)&gt;0,SUM(O61:AW61)+100,0)</f>
        <v>0</v>
      </c>
      <c r="H61" s="14">
        <f>IFERROR(SUM(O61:AW61)/35, "")</f>
        <v>0</v>
      </c>
      <c r="I61" s="13" t="str">
        <f>IF(H61&gt;=2.8,"Legendary",IF(H61&gt;=2,"Avenger",IF(H61&gt;=1,"Superhero","Hero")))</f>
        <v>Hero</v>
      </c>
      <c r="J61" s="13" t="s">
        <v>87</v>
      </c>
      <c r="K61" s="13" t="s">
        <v>87</v>
      </c>
      <c r="L61" s="13" t="s">
        <v>75</v>
      </c>
      <c r="M61" s="13" t="s">
        <v>75</v>
      </c>
      <c r="N61" s="13" t="s">
        <v>74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3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3" t="s">
        <v>76</v>
      </c>
      <c r="AY61" s="15" t="s">
        <v>165</v>
      </c>
      <c r="AZ61" s="15" t="s">
        <v>322</v>
      </c>
      <c r="BA61" s="15" t="s">
        <v>323</v>
      </c>
      <c r="BB61" s="15" t="s">
        <v>324</v>
      </c>
      <c r="BC61" s="13" t="s">
        <v>104</v>
      </c>
      <c r="BD61" s="5">
        <v>43481</v>
      </c>
      <c r="BE61" s="14">
        <f ca="1">IF(ISBLANK($BD61),"",(TODAY()-$BD61)/30)</f>
        <v>13.866666666666667</v>
      </c>
      <c r="BF61" s="29">
        <v>0</v>
      </c>
      <c r="BG61" s="29">
        <v>0</v>
      </c>
      <c r="BH61" s="15">
        <v>0</v>
      </c>
      <c r="BI61" s="28">
        <f>BH61-BG61</f>
        <v>0</v>
      </c>
    </row>
    <row r="62" spans="1:61">
      <c r="A62" s="1">
        <f>ROW()-2</f>
        <v>60</v>
      </c>
      <c r="B62" s="4" t="s">
        <v>325</v>
      </c>
      <c r="C62" s="15" t="s">
        <v>98</v>
      </c>
      <c r="D62" s="15" t="s">
        <v>326</v>
      </c>
      <c r="E62" s="15" t="s">
        <v>108</v>
      </c>
      <c r="F62" s="7" t="s">
        <v>297</v>
      </c>
      <c r="G62" s="17">
        <f>IF(SUM(O62:AW62)&gt;0,SUM(O62:AW62)+100,0)</f>
        <v>0</v>
      </c>
      <c r="H62" s="14">
        <f>IFERROR(SUM(O62:AW62)/35, "")</f>
        <v>0</v>
      </c>
      <c r="I62" s="13" t="str">
        <f>IF(H62&gt;=2.8,"Legendary",IF(H62&gt;=2,"Avenger",IF(H62&gt;=1,"Superhero","Hero")))</f>
        <v>Hero</v>
      </c>
      <c r="J62" s="13" t="s">
        <v>74</v>
      </c>
      <c r="K62" s="13" t="s">
        <v>74</v>
      </c>
      <c r="L62" s="13" t="s">
        <v>75</v>
      </c>
      <c r="M62" s="13" t="s">
        <v>75</v>
      </c>
      <c r="N62" s="13" t="s">
        <v>74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3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 t="s">
        <v>101</v>
      </c>
      <c r="AY62" s="16" t="s">
        <v>327</v>
      </c>
      <c r="AZ62" s="16" t="s">
        <v>328</v>
      </c>
      <c r="BA62" s="16" t="s">
        <v>215</v>
      </c>
      <c r="BB62" s="15" t="s">
        <v>228</v>
      </c>
      <c r="BC62" s="13" t="s">
        <v>215</v>
      </c>
      <c r="BD62" s="5">
        <v>43481</v>
      </c>
      <c r="BE62" s="14">
        <f ca="1">IF(ISBLANK($BD62),"",(TODAY()-$BD62)/30)</f>
        <v>13.866666666666667</v>
      </c>
      <c r="BF62" s="29">
        <v>0</v>
      </c>
      <c r="BG62" s="29">
        <v>0</v>
      </c>
      <c r="BH62" s="15">
        <v>0</v>
      </c>
      <c r="BI62" s="28">
        <f>BH62-BG62</f>
        <v>0</v>
      </c>
    </row>
    <row r="63" spans="1:61">
      <c r="B63" s="31"/>
      <c r="C63" s="31"/>
      <c r="D63" s="31"/>
      <c r="E63" s="31"/>
      <c r="F63" s="31"/>
      <c r="G63" s="31"/>
      <c r="H63" s="31"/>
      <c r="I63" s="31"/>
      <c r="J63" s="32">
        <f>(COUNTIFS(J23:J62, "Yes")+COUNTIFS(J23:J62, "Partially"))/COUNTA(J23:J62)</f>
        <v>0.65</v>
      </c>
      <c r="K63" s="32">
        <f>(COUNTIFS(K23:K62, "Yes")+COUNTIFS(K23:K62, "Partially"))/COUNTA(K23:K62)</f>
        <v>0.67500000000000004</v>
      </c>
      <c r="L63" s="32">
        <f>COUNTIFS(L23:L62, "Yes")/COUNTA(L23:L62)</f>
        <v>0</v>
      </c>
      <c r="M63" s="32">
        <f>COUNTIFS(M23:M62, "Yes")/COUNTA(M23:M62)</f>
        <v>2.5000000000000001E-2</v>
      </c>
      <c r="N63" s="32">
        <f>COUNTIFS(N23:N62, "Yes")/COUNTA(N23:N62)</f>
        <v>0.47499999999999998</v>
      </c>
      <c r="O63" s="33">
        <f>SUBTOTAL(109, O23:O62)/(COUNT(O23:O62)*3)</f>
        <v>0.26666666666666666</v>
      </c>
      <c r="P63" s="33">
        <f>SUBTOTAL(109, P23:P62)/(COUNT(P23:P62)*3)</f>
        <v>0.31666666666666665</v>
      </c>
      <c r="Q63" s="33">
        <f>SUBTOTAL(109, Q23:Q62)/(COUNT(Q23:Q62)*3)</f>
        <v>0.35833333333333334</v>
      </c>
      <c r="R63" s="33">
        <f>SUBTOTAL(109, R23:R62)/(COUNT(R23:R62)*3)</f>
        <v>0.15</v>
      </c>
      <c r="S63" s="33">
        <f>SUBTOTAL(109, S23:S62)/(COUNT(S23:S62)*3)</f>
        <v>0.26666666666666666</v>
      </c>
      <c r="T63" s="33">
        <f>SUBTOTAL(109, T23:T62)/(COUNT(T23:T62)*3)</f>
        <v>0.31666666666666665</v>
      </c>
      <c r="U63" s="33">
        <f>SUBTOTAL(109, U23:U62)/(COUNT(U23:U62)*3)</f>
        <v>0.45833333333333331</v>
      </c>
      <c r="V63" s="33">
        <f>SUBTOTAL(109, V23:V62)/(COUNT(V23:V62)*3)</f>
        <v>0.28333333333333333</v>
      </c>
      <c r="W63" s="33">
        <f>SUBTOTAL(109, W23:W62)/(COUNT(W23:W62)*3)</f>
        <v>0.2</v>
      </c>
      <c r="X63" s="33">
        <f>SUBTOTAL(109, X23:X62)/(COUNT(X23:X62)*3)</f>
        <v>0.375</v>
      </c>
      <c r="Y63" s="33">
        <f>SUBTOTAL(109, Y23:Y62)/(COUNT(Y23:Y62)*3)</f>
        <v>0.2</v>
      </c>
      <c r="Z63" s="33">
        <f>SUBTOTAL(109, Z23:Z62)/(COUNT(Z23:Z62)*3)</f>
        <v>0.17499999999999999</v>
      </c>
      <c r="AA63" s="33">
        <f>SUBTOTAL(109, AA23:AA62)/(COUNT(AA23:AA62)*3)</f>
        <v>0.36666666666666664</v>
      </c>
      <c r="AB63" s="33">
        <f>SUBTOTAL(109, AB23:AB62)/(COUNT(AB23:AB62)*3)</f>
        <v>0.30833333333333335</v>
      </c>
      <c r="AC63" s="33">
        <f>SUBTOTAL(109, AC23:AC62)/(COUNT(AC23:AC62)*3)</f>
        <v>0.375</v>
      </c>
      <c r="AD63" s="33">
        <f>SUBTOTAL(109, AD23:AD62)/(COUNT(AD23:AD62)*3)</f>
        <v>0.15</v>
      </c>
      <c r="AE63" s="33">
        <f>SUBTOTAL(109, AE23:AE62)/(COUNT(AE23:AE62)*3)</f>
        <v>0.13333333333333333</v>
      </c>
      <c r="AF63" s="33">
        <f>SUBTOTAL(109, AF23:AF62)/(COUNT(AF23:AF62)*3)</f>
        <v>0.16666666666666666</v>
      </c>
      <c r="AG63" s="33">
        <f>SUBTOTAL(109, AG23:AG62)/(COUNT(AG23:AG62)*3)</f>
        <v>0.21666666666666667</v>
      </c>
      <c r="AH63" s="33">
        <f>SUBTOTAL(109, AH23:AH62)/(COUNT(AH23:AH62)*3)</f>
        <v>8.3333333333333329E-2</v>
      </c>
      <c r="AI63" s="33">
        <f>SUBTOTAL(109, AI23:AI62)/(COUNT(AI23:AI62)*3)</f>
        <v>0.17499999999999999</v>
      </c>
      <c r="AJ63" s="33">
        <f>SUBTOTAL(109, AJ23:AJ62)/(COUNT(AJ23:AJ62)*3)</f>
        <v>0.26666666666666666</v>
      </c>
      <c r="AK63" s="33">
        <f>SUBTOTAL(109, AK23:AK62)/(COUNT(AK23:AK62)*3)</f>
        <v>0.6</v>
      </c>
      <c r="AL63" s="33">
        <f>SUBTOTAL(109, AL23:AL62)/(COUNT(AL23:AL62)*3)</f>
        <v>0.35</v>
      </c>
      <c r="AM63" s="33">
        <f>SUBTOTAL(109, AM23:AM62)/(COUNT(AM23:AM62)*3)</f>
        <v>0.28333333333333333</v>
      </c>
      <c r="AN63" s="33">
        <f>SUBTOTAL(109, AN23:AN62)/(COUNT(AN23:AN62)*3)</f>
        <v>7.4999999999999997E-2</v>
      </c>
      <c r="AO63" s="33">
        <f>SUBTOTAL(109, AO23:AO62)/(COUNT(AO23:AO62)*3)</f>
        <v>3.3333333333333333E-2</v>
      </c>
      <c r="AP63" s="33">
        <f>SUBTOTAL(109, AP23:AP62)/(COUNT(AP23:AP62)*3)</f>
        <v>2.5000000000000001E-2</v>
      </c>
      <c r="AQ63" s="33">
        <f>SUBTOTAL(109, AQ23:AQ62)/(COUNT(AQ23:AQ62)*3)</f>
        <v>9.166666666666666E-2</v>
      </c>
      <c r="AR63" s="33">
        <f>SUBTOTAL(109, AR23:AR62)/(COUNT(AR23:AR62)*3)</f>
        <v>0.24166666666666667</v>
      </c>
      <c r="AS63" s="33">
        <f>SUBTOTAL(109, AS23:AS62)/(COUNT(AS23:AS62)*3)</f>
        <v>6.6666666666666666E-2</v>
      </c>
      <c r="AT63" s="33">
        <f>SUBTOTAL(109, AT23:AT62)/(COUNT(AT23:AT62)*3)</f>
        <v>0.31666666666666665</v>
      </c>
      <c r="AU63" s="33">
        <f>SUBTOTAL(109, AU23:AU62)/(COUNT(AU23:AU62)*3)</f>
        <v>0.13333333333333333</v>
      </c>
      <c r="AV63" s="33">
        <f>SUBTOTAL(109, AV23:AV62)/(COUNT(AV23:AV62)*3)</f>
        <v>1.6666666666666666E-2</v>
      </c>
      <c r="AW63" s="33">
        <f>SUBTOTAL(109, AW23:AW62)/(COUNT(AW23:AW62)*3)</f>
        <v>7.4999999999999997E-2</v>
      </c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</row>
  </sheetData>
  <autoFilter ref="A2:BI63" xr:uid="{7F127E17-B378-4922-9F82-334469D7F43B}">
    <sortState xmlns:xlrd2="http://schemas.microsoft.com/office/spreadsheetml/2017/richdata2" ref="A3:BI63">
      <sortCondition descending="1" ref="G2:G63"/>
    </sortState>
  </autoFilter>
  <sortState xmlns:xlrd2="http://schemas.microsoft.com/office/spreadsheetml/2017/richdata2" ref="A3:BI62">
    <sortCondition descending="1" ref="G3:G62"/>
  </sortState>
  <mergeCells count="7">
    <mergeCell ref="BF1:BH1"/>
    <mergeCell ref="J1:N1"/>
    <mergeCell ref="AO1:AV1"/>
    <mergeCell ref="O1:R1"/>
    <mergeCell ref="S1:AB1"/>
    <mergeCell ref="AC1:AJ1"/>
    <mergeCell ref="AK1:AN1"/>
  </mergeCells>
  <conditionalFormatting sqref="I3:I62">
    <cfRule type="cellIs" dxfId="60" priority="31" operator="equal">
      <formula>"Legendary"</formula>
    </cfRule>
    <cfRule type="cellIs" dxfId="59" priority="32" operator="equal">
      <formula>"Avenger"</formula>
    </cfRule>
    <cfRule type="cellIs" dxfId="58" priority="33" operator="equal">
      <formula>"Superhero"</formula>
    </cfRule>
  </conditionalFormatting>
  <conditionalFormatting sqref="F3:F62">
    <cfRule type="cellIs" dxfId="57" priority="45" operator="equal">
      <formula>"Not Started"</formula>
    </cfRule>
    <cfRule type="cellIs" dxfId="56" priority="46" operator="equal">
      <formula>"In Progress"</formula>
    </cfRule>
    <cfRule type="cellIs" dxfId="55" priority="47" operator="equal">
      <formula>"Done"</formula>
    </cfRule>
  </conditionalFormatting>
  <conditionalFormatting sqref="J3:N60 J62:N62">
    <cfRule type="cellIs" dxfId="54" priority="90" operator="equal">
      <formula>"No"</formula>
    </cfRule>
    <cfRule type="cellIs" dxfId="53" priority="91" operator="equal">
      <formula>"Partially"</formula>
    </cfRule>
    <cfRule type="cellIs" dxfId="52" priority="92" operator="equal">
      <formula>"Yes"</formula>
    </cfRule>
  </conditionalFormatting>
  <conditionalFormatting sqref="O3:AW60 O62:AW62 AN61">
    <cfRule type="containsBlanks" dxfId="51" priority="494" stopIfTrue="1">
      <formula>LEN(TRIM(O3))=0</formula>
    </cfRule>
    <cfRule type="cellIs" dxfId="50" priority="495" operator="equal">
      <formula>0</formula>
    </cfRule>
    <cfRule type="cellIs" dxfId="49" priority="496" operator="equal">
      <formula>1</formula>
    </cfRule>
    <cfRule type="cellIs" dxfId="48" priority="497" operator="equal">
      <formula>2</formula>
    </cfRule>
    <cfRule type="cellIs" dxfId="47" priority="498" operator="equal">
      <formula>3</formula>
    </cfRule>
  </conditionalFormatting>
  <conditionalFormatting sqref="AO61:AW61">
    <cfRule type="containsBlanks" dxfId="46" priority="18" stopIfTrue="1">
      <formula>LEN(TRIM(AO61))=0</formula>
    </cfRule>
    <cfRule type="cellIs" dxfId="45" priority="19" operator="equal">
      <formula>0</formula>
    </cfRule>
    <cfRule type="cellIs" dxfId="44" priority="20" operator="equal">
      <formula>1</formula>
    </cfRule>
    <cfRule type="cellIs" dxfId="43" priority="21" operator="equal">
      <formula>2</formula>
    </cfRule>
    <cfRule type="cellIs" dxfId="42" priority="22" operator="equal">
      <formula>3</formula>
    </cfRule>
  </conditionalFormatting>
  <conditionalFormatting sqref="O61:AM61">
    <cfRule type="containsBlanks" dxfId="41" priority="26" stopIfTrue="1">
      <formula>LEN(TRIM(O61))=0</formula>
    </cfRule>
    <cfRule type="cellIs" dxfId="40" priority="27" operator="equal">
      <formula>0</formula>
    </cfRule>
    <cfRule type="cellIs" dxfId="39" priority="28" operator="equal">
      <formula>1</formula>
    </cfRule>
    <cfRule type="cellIs" dxfId="38" priority="29" operator="equal">
      <formula>2</formula>
    </cfRule>
    <cfRule type="cellIs" dxfId="37" priority="30" operator="equal">
      <formula>3</formula>
    </cfRule>
  </conditionalFormatting>
  <conditionalFormatting sqref="J61">
    <cfRule type="cellIs" dxfId="36" priority="15" operator="equal">
      <formula>"No"</formula>
    </cfRule>
    <cfRule type="cellIs" dxfId="35" priority="16" operator="equal">
      <formula>"Partially"</formula>
    </cfRule>
    <cfRule type="cellIs" dxfId="34" priority="17" operator="equal">
      <formula>"Yes"</formula>
    </cfRule>
  </conditionalFormatting>
  <conditionalFormatting sqref="K61">
    <cfRule type="cellIs" dxfId="33" priority="12" operator="equal">
      <formula>"No"</formula>
    </cfRule>
    <cfRule type="cellIs" dxfId="32" priority="13" operator="equal">
      <formula>"Partially"</formula>
    </cfRule>
    <cfRule type="cellIs" dxfId="31" priority="14" operator="equal">
      <formula>"Yes"</formula>
    </cfRule>
  </conditionalFormatting>
  <conditionalFormatting sqref="L61">
    <cfRule type="cellIs" dxfId="30" priority="9" operator="equal">
      <formula>"No"</formula>
    </cfRule>
    <cfRule type="cellIs" dxfId="29" priority="10" operator="equal">
      <formula>"Partially"</formula>
    </cfRule>
    <cfRule type="cellIs" dxfId="28" priority="11" operator="equal">
      <formula>"Yes"</formula>
    </cfRule>
  </conditionalFormatting>
  <conditionalFormatting sqref="M61">
    <cfRule type="cellIs" dxfId="27" priority="6" operator="equal">
      <formula>"No"</formula>
    </cfRule>
    <cfRule type="cellIs" dxfId="26" priority="7" operator="equal">
      <formula>"Partially"</formula>
    </cfRule>
    <cfRule type="cellIs" dxfId="25" priority="8" operator="equal">
      <formula>"Yes"</formula>
    </cfRule>
  </conditionalFormatting>
  <conditionalFormatting sqref="N61">
    <cfRule type="cellIs" dxfId="24" priority="3" operator="equal">
      <formula>"No"</formula>
    </cfRule>
    <cfRule type="cellIs" dxfId="23" priority="4" operator="equal">
      <formula>"Partially"</formula>
    </cfRule>
    <cfRule type="cellIs" dxfId="22" priority="5" operator="equal">
      <formula>"Yes"</formula>
    </cfRule>
  </conditionalFormatting>
  <conditionalFormatting sqref="BI3:BI6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F3:F62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J3:L62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M3:N62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A4:BD56"/>
  <sheetViews>
    <sheetView topLeftCell="B34" workbookViewId="0">
      <selection activeCell="A43" sqref="A43:AW56"/>
    </sheetView>
  </sheetViews>
  <sheetFormatPr defaultColWidth="14.140625" defaultRowHeight="15"/>
  <cols>
    <col min="4" max="4" width="29.85546875" bestFit="1" customWidth="1"/>
    <col min="6" max="8" width="0" hidden="1" customWidth="1"/>
    <col min="10" max="44" width="0" hidden="1" customWidth="1"/>
    <col min="45" max="45" width="16.5703125" bestFit="1" customWidth="1"/>
    <col min="46" max="46" width="20" bestFit="1" customWidth="1"/>
    <col min="47" max="47" width="40" bestFit="1" customWidth="1"/>
  </cols>
  <sheetData>
    <row r="4" spans="1:38" ht="48" thickBot="1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22</v>
      </c>
      <c r="K4" s="9" t="s">
        <v>23</v>
      </c>
      <c r="L4" s="9" t="s">
        <v>24</v>
      </c>
      <c r="M4" s="9" t="s">
        <v>26</v>
      </c>
      <c r="N4" s="9" t="s">
        <v>27</v>
      </c>
      <c r="O4" s="9" t="s">
        <v>28</v>
      </c>
      <c r="P4" s="9" t="s">
        <v>29</v>
      </c>
      <c r="Q4" s="9" t="s">
        <v>30</v>
      </c>
      <c r="R4" s="9" t="s">
        <v>31</v>
      </c>
      <c r="S4" s="9" t="s">
        <v>32</v>
      </c>
      <c r="T4" s="9" t="s">
        <v>33</v>
      </c>
      <c r="U4" s="9" t="s">
        <v>34</v>
      </c>
      <c r="V4" s="9" t="s">
        <v>35</v>
      </c>
      <c r="W4" s="9" t="s">
        <v>36</v>
      </c>
      <c r="X4" s="9" t="s">
        <v>37</v>
      </c>
      <c r="Y4" s="9" t="s">
        <v>38</v>
      </c>
      <c r="Z4" s="9" t="s">
        <v>42</v>
      </c>
      <c r="AA4" s="9" t="s">
        <v>43</v>
      </c>
      <c r="AB4" s="9" t="s">
        <v>44</v>
      </c>
      <c r="AC4" s="9" t="s">
        <v>45</v>
      </c>
      <c r="AD4" s="9" t="s">
        <v>46</v>
      </c>
      <c r="AE4" s="9" t="s">
        <v>48</v>
      </c>
      <c r="AF4" s="9" t="s">
        <v>50</v>
      </c>
      <c r="AG4" s="9" t="s">
        <v>51</v>
      </c>
      <c r="AH4" s="9" t="s">
        <v>52</v>
      </c>
      <c r="AI4" s="9" t="s">
        <v>53</v>
      </c>
      <c r="AJ4" s="9" t="s">
        <v>54</v>
      </c>
      <c r="AK4" s="9" t="s">
        <v>55</v>
      </c>
      <c r="AL4" s="10" t="s">
        <v>56</v>
      </c>
    </row>
    <row r="5" spans="1:38" ht="15.75">
      <c r="A5" s="1">
        <v>13</v>
      </c>
      <c r="B5" s="4" t="s">
        <v>150</v>
      </c>
      <c r="C5" s="15" t="s">
        <v>151</v>
      </c>
      <c r="D5" s="15" t="s">
        <v>152</v>
      </c>
      <c r="E5" s="15" t="s">
        <v>153</v>
      </c>
      <c r="F5" s="7" t="s">
        <v>73</v>
      </c>
      <c r="G5" s="17">
        <v>146</v>
      </c>
      <c r="H5" s="14">
        <v>1.3142857142857143</v>
      </c>
      <c r="I5" s="13" t="s">
        <v>329</v>
      </c>
      <c r="J5" s="15">
        <v>1</v>
      </c>
      <c r="K5" s="15">
        <v>1</v>
      </c>
      <c r="L5" s="15">
        <v>1</v>
      </c>
      <c r="M5" s="15">
        <v>2</v>
      </c>
      <c r="N5" s="15">
        <v>2</v>
      </c>
      <c r="O5" s="15">
        <v>2</v>
      </c>
      <c r="P5" s="15">
        <v>2</v>
      </c>
      <c r="Q5" s="15">
        <v>2</v>
      </c>
      <c r="R5" s="15">
        <v>2</v>
      </c>
      <c r="S5" s="15">
        <v>1</v>
      </c>
      <c r="T5" s="15">
        <v>1</v>
      </c>
      <c r="U5" s="15">
        <v>2</v>
      </c>
      <c r="V5" s="15">
        <v>2</v>
      </c>
      <c r="W5" s="15">
        <v>1</v>
      </c>
      <c r="X5" s="15">
        <v>2</v>
      </c>
      <c r="Y5" s="15">
        <v>2</v>
      </c>
      <c r="Z5" s="15">
        <v>1</v>
      </c>
      <c r="AA5" s="15">
        <v>1</v>
      </c>
      <c r="AB5" s="15">
        <v>3</v>
      </c>
      <c r="AC5" s="15">
        <v>1</v>
      </c>
      <c r="AD5" s="15">
        <v>3</v>
      </c>
      <c r="AE5" s="15">
        <v>1</v>
      </c>
      <c r="AF5" s="15">
        <v>2</v>
      </c>
      <c r="AG5" s="15">
        <v>1</v>
      </c>
      <c r="AH5" s="15">
        <v>1</v>
      </c>
      <c r="AI5" s="15">
        <v>1</v>
      </c>
      <c r="AJ5" s="15">
        <v>2</v>
      </c>
      <c r="AK5" s="15">
        <v>0</v>
      </c>
      <c r="AL5" s="15">
        <v>1</v>
      </c>
    </row>
    <row r="6" spans="1:38" ht="15.75">
      <c r="A6" s="1">
        <v>21</v>
      </c>
      <c r="B6" s="4" t="s">
        <v>188</v>
      </c>
      <c r="C6" s="15" t="s">
        <v>151</v>
      </c>
      <c r="D6" s="15" t="s">
        <v>189</v>
      </c>
      <c r="E6" s="15" t="s">
        <v>100</v>
      </c>
      <c r="F6" s="7" t="s">
        <v>73</v>
      </c>
      <c r="G6" s="17">
        <v>139</v>
      </c>
      <c r="H6" s="14">
        <v>1.1142857142857143</v>
      </c>
      <c r="I6" s="13" t="s">
        <v>329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2</v>
      </c>
      <c r="P6" s="15">
        <v>0</v>
      </c>
      <c r="Q6" s="15">
        <v>1</v>
      </c>
      <c r="R6" s="15">
        <v>2</v>
      </c>
      <c r="S6" s="15">
        <v>2</v>
      </c>
      <c r="T6" s="15">
        <v>1</v>
      </c>
      <c r="U6" s="15">
        <v>2</v>
      </c>
      <c r="V6" s="15">
        <v>2</v>
      </c>
      <c r="W6" s="15">
        <v>1</v>
      </c>
      <c r="X6" s="15">
        <v>2</v>
      </c>
      <c r="Y6" s="15">
        <v>2</v>
      </c>
      <c r="Z6" s="15">
        <v>1</v>
      </c>
      <c r="AA6" s="15">
        <v>1</v>
      </c>
      <c r="AB6" s="15">
        <v>3</v>
      </c>
      <c r="AC6" s="15">
        <v>1</v>
      </c>
      <c r="AD6" s="15">
        <v>2</v>
      </c>
      <c r="AE6" s="15">
        <v>1</v>
      </c>
      <c r="AF6" s="15">
        <v>1</v>
      </c>
      <c r="AG6" s="15">
        <v>1</v>
      </c>
      <c r="AH6" s="15">
        <v>1</v>
      </c>
      <c r="AI6" s="15">
        <v>1</v>
      </c>
      <c r="AJ6" s="15">
        <v>1</v>
      </c>
      <c r="AK6" s="15">
        <v>0</v>
      </c>
      <c r="AL6" s="15">
        <v>1</v>
      </c>
    </row>
    <row r="7" spans="1:38" ht="15.75">
      <c r="A7" s="1">
        <v>23</v>
      </c>
      <c r="B7" s="4" t="s">
        <v>192</v>
      </c>
      <c r="C7" s="15" t="s">
        <v>151</v>
      </c>
      <c r="D7" s="15" t="s">
        <v>193</v>
      </c>
      <c r="E7" s="15" t="s">
        <v>100</v>
      </c>
      <c r="F7" s="7" t="s">
        <v>73</v>
      </c>
      <c r="G7" s="17">
        <v>138</v>
      </c>
      <c r="H7" s="14">
        <v>1.0857142857142856</v>
      </c>
      <c r="I7" s="13" t="s">
        <v>329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2</v>
      </c>
      <c r="P7" s="15">
        <v>0</v>
      </c>
      <c r="Q7" s="15">
        <v>1</v>
      </c>
      <c r="R7" s="15">
        <v>2</v>
      </c>
      <c r="S7" s="15">
        <v>1</v>
      </c>
      <c r="T7" s="15">
        <v>1</v>
      </c>
      <c r="U7" s="15">
        <v>2</v>
      </c>
      <c r="V7" s="15">
        <v>2</v>
      </c>
      <c r="W7" s="15">
        <v>1</v>
      </c>
      <c r="X7" s="15">
        <v>2</v>
      </c>
      <c r="Y7" s="15">
        <v>2</v>
      </c>
      <c r="Z7" s="15">
        <v>1</v>
      </c>
      <c r="AA7" s="15">
        <v>1</v>
      </c>
      <c r="AB7" s="15">
        <v>3</v>
      </c>
      <c r="AC7" s="15">
        <v>1</v>
      </c>
      <c r="AD7" s="15">
        <v>2</v>
      </c>
      <c r="AE7" s="15">
        <v>1</v>
      </c>
      <c r="AF7" s="15">
        <v>1</v>
      </c>
      <c r="AG7" s="15">
        <v>1</v>
      </c>
      <c r="AH7" s="15">
        <v>1</v>
      </c>
      <c r="AI7" s="15">
        <v>1</v>
      </c>
      <c r="AJ7" s="15">
        <v>1</v>
      </c>
      <c r="AK7" s="15">
        <v>0</v>
      </c>
      <c r="AL7" s="15">
        <v>1</v>
      </c>
    </row>
    <row r="8" spans="1:38" ht="15.75">
      <c r="A8" s="1">
        <v>25</v>
      </c>
      <c r="B8" s="4" t="s">
        <v>205</v>
      </c>
      <c r="C8" s="15" t="s">
        <v>151</v>
      </c>
      <c r="D8" s="15" t="s">
        <v>206</v>
      </c>
      <c r="E8" s="15" t="s">
        <v>100</v>
      </c>
      <c r="F8" s="7" t="s">
        <v>73</v>
      </c>
      <c r="G8" s="17">
        <v>136</v>
      </c>
      <c r="H8" s="14">
        <v>1.0285714285714285</v>
      </c>
      <c r="I8" s="13" t="s">
        <v>329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2</v>
      </c>
      <c r="P8" s="15">
        <v>0</v>
      </c>
      <c r="Q8" s="15">
        <v>1</v>
      </c>
      <c r="R8" s="15">
        <v>2</v>
      </c>
      <c r="S8" s="15">
        <v>1</v>
      </c>
      <c r="T8" s="15">
        <v>1</v>
      </c>
      <c r="U8" s="15">
        <v>2</v>
      </c>
      <c r="V8" s="15">
        <v>2</v>
      </c>
      <c r="W8" s="15">
        <v>1</v>
      </c>
      <c r="X8" s="15">
        <v>1</v>
      </c>
      <c r="Y8" s="15">
        <v>1</v>
      </c>
      <c r="Z8" s="15">
        <v>1</v>
      </c>
      <c r="AA8" s="15">
        <v>1</v>
      </c>
      <c r="AB8" s="15">
        <v>3</v>
      </c>
      <c r="AC8" s="15">
        <v>1</v>
      </c>
      <c r="AD8" s="15">
        <v>2</v>
      </c>
      <c r="AE8" s="15">
        <v>1</v>
      </c>
      <c r="AF8" s="15">
        <v>1</v>
      </c>
      <c r="AG8" s="15">
        <v>1</v>
      </c>
      <c r="AH8" s="15">
        <v>1</v>
      </c>
      <c r="AI8" s="15">
        <v>1</v>
      </c>
      <c r="AJ8" s="15">
        <v>1</v>
      </c>
      <c r="AK8" s="15">
        <v>0</v>
      </c>
      <c r="AL8" s="15">
        <v>1</v>
      </c>
    </row>
    <row r="9" spans="1:38" ht="15.75">
      <c r="A9" s="1">
        <v>28</v>
      </c>
      <c r="B9" s="4" t="s">
        <v>208</v>
      </c>
      <c r="C9" s="15" t="s">
        <v>151</v>
      </c>
      <c r="D9" s="15" t="s">
        <v>209</v>
      </c>
      <c r="E9" s="15" t="s">
        <v>100</v>
      </c>
      <c r="F9" s="7" t="s">
        <v>73</v>
      </c>
      <c r="G9" s="17">
        <v>136</v>
      </c>
      <c r="H9" s="14">
        <v>1.0285714285714285</v>
      </c>
      <c r="I9" s="13" t="s">
        <v>329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O9" s="15">
        <v>2</v>
      </c>
      <c r="P9" s="15">
        <v>0</v>
      </c>
      <c r="Q9" s="15">
        <v>1</v>
      </c>
      <c r="R9" s="15">
        <v>2</v>
      </c>
      <c r="S9" s="15">
        <v>1</v>
      </c>
      <c r="T9" s="15">
        <v>1</v>
      </c>
      <c r="U9" s="15">
        <v>3</v>
      </c>
      <c r="V9" s="15">
        <v>2</v>
      </c>
      <c r="W9" s="15">
        <v>1</v>
      </c>
      <c r="X9" s="15">
        <v>2</v>
      </c>
      <c r="Y9" s="15">
        <v>1</v>
      </c>
      <c r="Z9" s="15">
        <v>1</v>
      </c>
      <c r="AA9" s="15">
        <v>1</v>
      </c>
      <c r="AB9" s="15">
        <v>3</v>
      </c>
      <c r="AC9" s="15">
        <v>1</v>
      </c>
      <c r="AD9" s="15">
        <v>1</v>
      </c>
      <c r="AE9" s="15">
        <v>0</v>
      </c>
      <c r="AF9" s="15">
        <v>1</v>
      </c>
      <c r="AG9" s="15">
        <v>1</v>
      </c>
      <c r="AH9" s="15">
        <v>1</v>
      </c>
      <c r="AI9" s="15">
        <v>1</v>
      </c>
      <c r="AJ9" s="15">
        <v>1</v>
      </c>
      <c r="AK9" s="15">
        <v>0</v>
      </c>
      <c r="AL9" s="15">
        <v>1</v>
      </c>
    </row>
    <row r="10" spans="1:38" ht="15.75">
      <c r="A10" s="1">
        <v>30</v>
      </c>
      <c r="B10" s="4" t="s">
        <v>216</v>
      </c>
      <c r="C10" s="15" t="s">
        <v>151</v>
      </c>
      <c r="D10" s="15" t="s">
        <v>217</v>
      </c>
      <c r="E10" s="15" t="s">
        <v>100</v>
      </c>
      <c r="F10" s="7" t="s">
        <v>73</v>
      </c>
      <c r="G10" s="17">
        <v>134</v>
      </c>
      <c r="H10" s="14">
        <v>0.97142857142857142</v>
      </c>
      <c r="I10" s="13" t="s">
        <v>330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2</v>
      </c>
      <c r="P10" s="15">
        <v>0</v>
      </c>
      <c r="Q10" s="15">
        <v>1</v>
      </c>
      <c r="R10" s="15">
        <v>1</v>
      </c>
      <c r="S10" s="15">
        <v>1</v>
      </c>
      <c r="T10" s="15">
        <v>1</v>
      </c>
      <c r="U10" s="15">
        <v>2</v>
      </c>
      <c r="V10" s="15">
        <v>2</v>
      </c>
      <c r="W10" s="15">
        <v>1</v>
      </c>
      <c r="X10" s="15">
        <v>2</v>
      </c>
      <c r="Y10" s="15">
        <v>2</v>
      </c>
      <c r="Z10" s="15">
        <v>1</v>
      </c>
      <c r="AA10" s="15">
        <v>1</v>
      </c>
      <c r="AB10" s="15">
        <v>3</v>
      </c>
      <c r="AC10" s="15">
        <v>1</v>
      </c>
      <c r="AD10" s="15">
        <v>1</v>
      </c>
      <c r="AE10" s="15">
        <v>0</v>
      </c>
      <c r="AF10" s="15">
        <v>1</v>
      </c>
      <c r="AG10" s="15">
        <v>1</v>
      </c>
      <c r="AH10" s="15">
        <v>1</v>
      </c>
      <c r="AI10" s="15">
        <v>0</v>
      </c>
      <c r="AJ10" s="15">
        <v>1</v>
      </c>
      <c r="AK10" s="15">
        <v>0</v>
      </c>
      <c r="AL10" s="15">
        <v>1</v>
      </c>
    </row>
    <row r="11" spans="1:38" ht="15.75">
      <c r="A11" s="1">
        <v>32</v>
      </c>
      <c r="B11" s="4" t="s">
        <v>220</v>
      </c>
      <c r="C11" s="15" t="s">
        <v>151</v>
      </c>
      <c r="D11" s="15" t="s">
        <v>221</v>
      </c>
      <c r="E11" s="15" t="s">
        <v>100</v>
      </c>
      <c r="F11" s="7" t="s">
        <v>73</v>
      </c>
      <c r="G11" s="17">
        <v>134</v>
      </c>
      <c r="H11" s="14">
        <v>0.97142857142857142</v>
      </c>
      <c r="I11" s="13" t="s">
        <v>330</v>
      </c>
      <c r="J11" s="15">
        <v>1</v>
      </c>
      <c r="K11" s="15">
        <v>1</v>
      </c>
      <c r="L11" s="15">
        <v>1</v>
      </c>
      <c r="M11" s="15">
        <v>1</v>
      </c>
      <c r="N11" s="15">
        <v>1</v>
      </c>
      <c r="O11" s="15">
        <v>2</v>
      </c>
      <c r="P11" s="15">
        <v>0</v>
      </c>
      <c r="Q11" s="15">
        <v>1</v>
      </c>
      <c r="R11" s="15">
        <v>2</v>
      </c>
      <c r="S11" s="15">
        <v>1</v>
      </c>
      <c r="T11" s="15">
        <v>1</v>
      </c>
      <c r="U11" s="15">
        <v>2</v>
      </c>
      <c r="V11" s="15">
        <v>2</v>
      </c>
      <c r="W11" s="15">
        <v>1</v>
      </c>
      <c r="X11" s="15">
        <v>1</v>
      </c>
      <c r="Y11" s="15">
        <v>1</v>
      </c>
      <c r="Z11" s="15">
        <v>1</v>
      </c>
      <c r="AA11" s="15">
        <v>1</v>
      </c>
      <c r="AB11" s="15">
        <v>3</v>
      </c>
      <c r="AC11" s="15">
        <v>1</v>
      </c>
      <c r="AD11" s="15">
        <v>1</v>
      </c>
      <c r="AE11" s="15">
        <v>1</v>
      </c>
      <c r="AF11" s="15">
        <v>1</v>
      </c>
      <c r="AG11" s="15">
        <v>1</v>
      </c>
      <c r="AH11" s="15">
        <v>0</v>
      </c>
      <c r="AI11" s="15">
        <v>1</v>
      </c>
      <c r="AJ11" s="15">
        <v>1</v>
      </c>
      <c r="AK11" s="15">
        <v>0</v>
      </c>
      <c r="AL11" s="15">
        <v>1</v>
      </c>
    </row>
    <row r="12" spans="1:38" ht="15.75">
      <c r="A12" s="1">
        <v>36</v>
      </c>
      <c r="B12" s="4" t="s">
        <v>244</v>
      </c>
      <c r="C12" s="15" t="s">
        <v>151</v>
      </c>
      <c r="D12" s="15"/>
      <c r="E12" s="15" t="s">
        <v>72</v>
      </c>
      <c r="F12" s="7" t="s">
        <v>73</v>
      </c>
      <c r="G12" s="17">
        <v>129</v>
      </c>
      <c r="H12" s="14">
        <v>0.82857142857142863</v>
      </c>
      <c r="I12" s="13" t="s">
        <v>330</v>
      </c>
      <c r="J12" s="15">
        <v>1</v>
      </c>
      <c r="K12" s="15">
        <v>1</v>
      </c>
      <c r="L12" s="15">
        <v>1</v>
      </c>
      <c r="M12" s="15">
        <v>1</v>
      </c>
      <c r="N12" s="15">
        <v>2</v>
      </c>
      <c r="O12" s="15">
        <v>1</v>
      </c>
      <c r="P12" s="15">
        <v>1</v>
      </c>
      <c r="Q12" s="15">
        <v>0</v>
      </c>
      <c r="R12" s="15">
        <v>0</v>
      </c>
      <c r="S12" s="15">
        <v>0</v>
      </c>
      <c r="T12" s="15">
        <v>1</v>
      </c>
      <c r="U12" s="15">
        <v>3</v>
      </c>
      <c r="V12" s="15">
        <v>1</v>
      </c>
      <c r="W12" s="15">
        <v>1</v>
      </c>
      <c r="X12" s="15">
        <v>1</v>
      </c>
      <c r="Y12" s="15">
        <v>1</v>
      </c>
      <c r="Z12" s="15">
        <v>1</v>
      </c>
      <c r="AA12" s="15">
        <v>1</v>
      </c>
      <c r="AB12" s="15">
        <v>3</v>
      </c>
      <c r="AC12" s="15">
        <v>1</v>
      </c>
      <c r="AD12" s="15">
        <v>1</v>
      </c>
      <c r="AE12" s="15">
        <v>0</v>
      </c>
      <c r="AF12" s="15">
        <v>0</v>
      </c>
      <c r="AG12" s="15">
        <v>1</v>
      </c>
      <c r="AH12" s="15">
        <v>1</v>
      </c>
      <c r="AI12" s="15">
        <v>1</v>
      </c>
      <c r="AJ12" s="15">
        <v>0</v>
      </c>
      <c r="AK12" s="15">
        <v>0</v>
      </c>
      <c r="AL12" s="15">
        <v>1</v>
      </c>
    </row>
    <row r="14" spans="1:38" ht="48" thickBot="1">
      <c r="J14" s="9" t="s">
        <v>22</v>
      </c>
      <c r="K14" s="9" t="s">
        <v>23</v>
      </c>
      <c r="L14" s="9" t="s">
        <v>24</v>
      </c>
      <c r="M14" s="9" t="s">
        <v>26</v>
      </c>
      <c r="N14" s="9" t="s">
        <v>27</v>
      </c>
      <c r="O14" s="9" t="s">
        <v>28</v>
      </c>
      <c r="P14" s="9" t="s">
        <v>29</v>
      </c>
      <c r="Q14" s="9" t="s">
        <v>30</v>
      </c>
      <c r="R14" s="9" t="s">
        <v>31</v>
      </c>
      <c r="S14" s="9" t="s">
        <v>32</v>
      </c>
      <c r="T14" s="9" t="s">
        <v>33</v>
      </c>
      <c r="U14" s="9" t="s">
        <v>34</v>
      </c>
      <c r="V14" s="9" t="s">
        <v>35</v>
      </c>
      <c r="W14" s="9" t="s">
        <v>36</v>
      </c>
      <c r="X14" s="9" t="s">
        <v>37</v>
      </c>
      <c r="Y14" s="9" t="s">
        <v>38</v>
      </c>
      <c r="Z14" s="9" t="s">
        <v>42</v>
      </c>
      <c r="AA14" s="9" t="s">
        <v>43</v>
      </c>
      <c r="AB14" s="9" t="s">
        <v>44</v>
      </c>
      <c r="AC14" s="9" t="s">
        <v>45</v>
      </c>
      <c r="AD14" s="9" t="s">
        <v>46</v>
      </c>
      <c r="AE14" s="9" t="s">
        <v>48</v>
      </c>
      <c r="AF14" s="9" t="s">
        <v>50</v>
      </c>
      <c r="AG14" s="9" t="s">
        <v>51</v>
      </c>
      <c r="AH14" s="9" t="s">
        <v>52</v>
      </c>
      <c r="AI14" s="9" t="s">
        <v>53</v>
      </c>
      <c r="AJ14" s="9" t="s">
        <v>54</v>
      </c>
      <c r="AK14" s="9" t="s">
        <v>55</v>
      </c>
      <c r="AL14" s="10" t="s">
        <v>56</v>
      </c>
    </row>
    <row r="15" spans="1:38">
      <c r="J15">
        <f t="shared" ref="J15:R15" si="0">SUM(J5:J12)/COUNT(J5:J12)</f>
        <v>1</v>
      </c>
      <c r="K15">
        <f t="shared" si="0"/>
        <v>1</v>
      </c>
      <c r="L15">
        <f t="shared" si="0"/>
        <v>1</v>
      </c>
      <c r="M15">
        <f t="shared" si="0"/>
        <v>1.125</v>
      </c>
      <c r="N15">
        <f t="shared" si="0"/>
        <v>1.25</v>
      </c>
      <c r="O15">
        <f t="shared" si="0"/>
        <v>1.875</v>
      </c>
      <c r="P15">
        <f t="shared" si="0"/>
        <v>0.375</v>
      </c>
      <c r="Q15">
        <f t="shared" si="0"/>
        <v>1</v>
      </c>
      <c r="R15">
        <f t="shared" si="0"/>
        <v>1.625</v>
      </c>
      <c r="S15">
        <f t="shared" ref="S15:AL15" si="1">SUM(S5:S12)/COUNT(S5:S12)</f>
        <v>1</v>
      </c>
      <c r="T15">
        <f t="shared" si="1"/>
        <v>1</v>
      </c>
      <c r="U15">
        <f t="shared" si="1"/>
        <v>2.25</v>
      </c>
      <c r="V15">
        <f t="shared" si="1"/>
        <v>1.875</v>
      </c>
      <c r="W15">
        <f t="shared" si="1"/>
        <v>1</v>
      </c>
      <c r="X15">
        <f t="shared" si="1"/>
        <v>1.625</v>
      </c>
      <c r="Y15">
        <f t="shared" si="1"/>
        <v>1.5</v>
      </c>
      <c r="Z15">
        <f t="shared" si="1"/>
        <v>1</v>
      </c>
      <c r="AA15">
        <f t="shared" si="1"/>
        <v>1</v>
      </c>
      <c r="AB15">
        <f t="shared" si="1"/>
        <v>3</v>
      </c>
      <c r="AC15">
        <f t="shared" si="1"/>
        <v>1</v>
      </c>
      <c r="AD15">
        <f t="shared" si="1"/>
        <v>1.625</v>
      </c>
      <c r="AE15">
        <f t="shared" si="1"/>
        <v>0.625</v>
      </c>
      <c r="AF15">
        <f t="shared" si="1"/>
        <v>1</v>
      </c>
      <c r="AG15">
        <f t="shared" si="1"/>
        <v>1</v>
      </c>
      <c r="AH15">
        <f t="shared" si="1"/>
        <v>0.875</v>
      </c>
      <c r="AI15">
        <f t="shared" si="1"/>
        <v>0.875</v>
      </c>
      <c r="AJ15">
        <f t="shared" si="1"/>
        <v>1</v>
      </c>
      <c r="AK15">
        <f t="shared" si="1"/>
        <v>0</v>
      </c>
      <c r="AL15">
        <f t="shared" si="1"/>
        <v>1</v>
      </c>
    </row>
    <row r="43" spans="1:56" ht="48" thickBot="1">
      <c r="A43" s="8" t="s">
        <v>8</v>
      </c>
      <c r="B43" s="8" t="s">
        <v>9</v>
      </c>
      <c r="C43" s="9" t="s">
        <v>10</v>
      </c>
      <c r="D43" s="9" t="s">
        <v>11</v>
      </c>
      <c r="E43" s="9" t="s">
        <v>12</v>
      </c>
      <c r="F43" s="9" t="s">
        <v>13</v>
      </c>
      <c r="G43" s="9" t="s">
        <v>14</v>
      </c>
      <c r="H43" s="9" t="s">
        <v>15</v>
      </c>
      <c r="I43" s="9" t="s">
        <v>16</v>
      </c>
      <c r="J43" s="9" t="s">
        <v>22</v>
      </c>
      <c r="K43" s="9" t="s">
        <v>23</v>
      </c>
      <c r="L43" s="9" t="s">
        <v>24</v>
      </c>
      <c r="M43" s="9" t="s">
        <v>25</v>
      </c>
      <c r="N43" s="9" t="s">
        <v>26</v>
      </c>
      <c r="O43" s="9" t="s">
        <v>27</v>
      </c>
      <c r="P43" s="9" t="s">
        <v>28</v>
      </c>
      <c r="Q43" s="9" t="s">
        <v>29</v>
      </c>
      <c r="R43" s="9" t="s">
        <v>30</v>
      </c>
      <c r="S43" s="9" t="s">
        <v>31</v>
      </c>
      <c r="T43" s="9" t="s">
        <v>32</v>
      </c>
      <c r="U43" s="9" t="s">
        <v>33</v>
      </c>
      <c r="V43" s="9" t="s">
        <v>34</v>
      </c>
      <c r="W43" s="9" t="s">
        <v>35</v>
      </c>
      <c r="X43" s="9" t="s">
        <v>36</v>
      </c>
      <c r="Y43" s="9" t="s">
        <v>37</v>
      </c>
      <c r="Z43" s="9" t="s">
        <v>38</v>
      </c>
      <c r="AA43" s="9" t="s">
        <v>39</v>
      </c>
      <c r="AB43" s="9" t="s">
        <v>40</v>
      </c>
      <c r="AC43" s="9" t="s">
        <v>41</v>
      </c>
      <c r="AD43" s="9" t="s">
        <v>42</v>
      </c>
      <c r="AE43" s="9" t="s">
        <v>43</v>
      </c>
      <c r="AF43" s="9" t="s">
        <v>44</v>
      </c>
      <c r="AG43" s="9" t="s">
        <v>45</v>
      </c>
      <c r="AH43" s="9" t="s">
        <v>46</v>
      </c>
      <c r="AI43" s="9" t="s">
        <v>47</v>
      </c>
      <c r="AJ43" s="9" t="s">
        <v>48</v>
      </c>
      <c r="AK43" s="9" t="s">
        <v>49</v>
      </c>
      <c r="AL43" s="9" t="s">
        <v>50</v>
      </c>
      <c r="AM43" s="9" t="s">
        <v>51</v>
      </c>
      <c r="AN43" s="9" t="s">
        <v>52</v>
      </c>
      <c r="AO43" s="9" t="s">
        <v>53</v>
      </c>
      <c r="AP43" s="9" t="s">
        <v>54</v>
      </c>
      <c r="AQ43" s="9" t="s">
        <v>55</v>
      </c>
      <c r="AR43" s="10" t="s">
        <v>56</v>
      </c>
      <c r="AS43" s="9" t="s">
        <v>57</v>
      </c>
      <c r="AT43" s="9" t="s">
        <v>58</v>
      </c>
      <c r="AU43" s="9" t="s">
        <v>59</v>
      </c>
      <c r="AV43" s="9" t="s">
        <v>60</v>
      </c>
      <c r="AW43" s="9" t="s">
        <v>61</v>
      </c>
      <c r="AX43" s="9" t="s">
        <v>62</v>
      </c>
      <c r="AY43" s="9" t="s">
        <v>63</v>
      </c>
      <c r="AZ43" s="9" t="s">
        <v>64</v>
      </c>
      <c r="BA43" s="9" t="s">
        <v>65</v>
      </c>
      <c r="BB43" s="9" t="s">
        <v>66</v>
      </c>
      <c r="BC43" s="27" t="s">
        <v>67</v>
      </c>
      <c r="BD43" s="27" t="s">
        <v>68</v>
      </c>
    </row>
    <row r="44" spans="1:56" ht="15.75">
      <c r="A44" s="1">
        <v>13</v>
      </c>
      <c r="B44" s="4" t="s">
        <v>150</v>
      </c>
      <c r="C44" s="15" t="s">
        <v>151</v>
      </c>
      <c r="D44" s="15" t="s">
        <v>152</v>
      </c>
      <c r="E44" s="15" t="s">
        <v>153</v>
      </c>
      <c r="F44" s="7" t="s">
        <v>73</v>
      </c>
      <c r="G44" s="17">
        <v>146</v>
      </c>
      <c r="H44" s="14">
        <v>1.3142857142857143</v>
      </c>
      <c r="I44" s="13" t="s">
        <v>329</v>
      </c>
      <c r="J44" s="15">
        <v>1</v>
      </c>
      <c r="K44" s="15">
        <v>1</v>
      </c>
      <c r="L44" s="15">
        <v>1</v>
      </c>
      <c r="M44" s="15">
        <v>0</v>
      </c>
      <c r="N44" s="15">
        <v>2</v>
      </c>
      <c r="O44" s="15">
        <v>2</v>
      </c>
      <c r="P44" s="15">
        <v>2</v>
      </c>
      <c r="Q44" s="15">
        <v>2</v>
      </c>
      <c r="R44" s="15">
        <v>2</v>
      </c>
      <c r="S44" s="15">
        <v>2</v>
      </c>
      <c r="T44" s="15">
        <v>1</v>
      </c>
      <c r="U44" s="15">
        <v>1</v>
      </c>
      <c r="V44" s="15">
        <v>2</v>
      </c>
      <c r="W44" s="15">
        <v>2</v>
      </c>
      <c r="X44" s="15">
        <v>1</v>
      </c>
      <c r="Y44" s="15">
        <v>2</v>
      </c>
      <c r="Z44" s="15">
        <v>2</v>
      </c>
      <c r="AA44" s="15">
        <v>1</v>
      </c>
      <c r="AB44" s="15">
        <v>1</v>
      </c>
      <c r="AC44" s="15">
        <v>0</v>
      </c>
      <c r="AD44" s="15">
        <v>1</v>
      </c>
      <c r="AE44" s="15">
        <v>1</v>
      </c>
      <c r="AF44" s="15">
        <v>3</v>
      </c>
      <c r="AG44" s="15">
        <v>1</v>
      </c>
      <c r="AH44" s="15">
        <v>3</v>
      </c>
      <c r="AI44" s="13">
        <v>0</v>
      </c>
      <c r="AJ44" s="15">
        <v>1</v>
      </c>
      <c r="AK44" s="15">
        <v>0</v>
      </c>
      <c r="AL44" s="15">
        <v>2</v>
      </c>
      <c r="AM44" s="15">
        <v>1</v>
      </c>
      <c r="AN44" s="15">
        <v>1</v>
      </c>
      <c r="AO44" s="15">
        <v>1</v>
      </c>
      <c r="AP44" s="15">
        <v>2</v>
      </c>
      <c r="AQ44" s="15">
        <v>0</v>
      </c>
      <c r="AR44" s="15">
        <v>1</v>
      </c>
      <c r="AS44" s="15" t="s">
        <v>109</v>
      </c>
      <c r="AT44" s="15" t="s">
        <v>154</v>
      </c>
      <c r="AU44" s="15" t="s">
        <v>155</v>
      </c>
      <c r="AV44" s="15" t="s">
        <v>156</v>
      </c>
      <c r="AW44" s="15" t="s">
        <v>136</v>
      </c>
      <c r="AX44" s="15" t="s">
        <v>157</v>
      </c>
      <c r="AY44" s="5">
        <v>43586</v>
      </c>
      <c r="AZ44" s="14">
        <v>8.3000000000000007</v>
      </c>
      <c r="BA44" s="29">
        <v>128</v>
      </c>
      <c r="BB44" s="29">
        <v>146</v>
      </c>
      <c r="BC44" s="15">
        <v>146</v>
      </c>
      <c r="BD44" s="28">
        <v>0</v>
      </c>
    </row>
    <row r="45" spans="1:56" ht="15.75">
      <c r="A45" s="1">
        <v>21</v>
      </c>
      <c r="B45" s="4" t="s">
        <v>188</v>
      </c>
      <c r="C45" s="15" t="s">
        <v>151</v>
      </c>
      <c r="D45" s="15" t="s">
        <v>189</v>
      </c>
      <c r="E45" s="15" t="s">
        <v>100</v>
      </c>
      <c r="F45" s="7" t="s">
        <v>73</v>
      </c>
      <c r="G45" s="17">
        <v>139</v>
      </c>
      <c r="H45" s="14">
        <v>1.1142857142857143</v>
      </c>
      <c r="I45" s="13" t="s">
        <v>329</v>
      </c>
      <c r="J45" s="15">
        <v>1</v>
      </c>
      <c r="K45" s="15">
        <v>1</v>
      </c>
      <c r="L45" s="15">
        <v>1</v>
      </c>
      <c r="M45" s="15">
        <v>0</v>
      </c>
      <c r="N45" s="15">
        <v>1</v>
      </c>
      <c r="O45" s="15">
        <v>1</v>
      </c>
      <c r="P45" s="15">
        <v>2</v>
      </c>
      <c r="Q45" s="15">
        <v>0</v>
      </c>
      <c r="R45" s="15">
        <v>1</v>
      </c>
      <c r="S45" s="15">
        <v>2</v>
      </c>
      <c r="T45" s="15">
        <v>2</v>
      </c>
      <c r="U45" s="15">
        <v>1</v>
      </c>
      <c r="V45" s="15">
        <v>2</v>
      </c>
      <c r="W45" s="15">
        <v>2</v>
      </c>
      <c r="X45" s="15">
        <v>1</v>
      </c>
      <c r="Y45" s="15">
        <v>2</v>
      </c>
      <c r="Z45" s="15">
        <v>2</v>
      </c>
      <c r="AA45" s="15">
        <v>1</v>
      </c>
      <c r="AB45" s="15">
        <v>1</v>
      </c>
      <c r="AC45" s="15">
        <v>0</v>
      </c>
      <c r="AD45" s="15">
        <v>1</v>
      </c>
      <c r="AE45" s="15">
        <v>1</v>
      </c>
      <c r="AF45" s="15">
        <v>3</v>
      </c>
      <c r="AG45" s="15">
        <v>1</v>
      </c>
      <c r="AH45" s="15">
        <v>2</v>
      </c>
      <c r="AI45" s="13">
        <v>0</v>
      </c>
      <c r="AJ45" s="15">
        <v>1</v>
      </c>
      <c r="AK45" s="15">
        <v>0</v>
      </c>
      <c r="AL45" s="15">
        <v>1</v>
      </c>
      <c r="AM45" s="15">
        <v>1</v>
      </c>
      <c r="AN45" s="15">
        <v>1</v>
      </c>
      <c r="AO45" s="15">
        <v>1</v>
      </c>
      <c r="AP45" s="15">
        <v>1</v>
      </c>
      <c r="AQ45" s="15">
        <v>0</v>
      </c>
      <c r="AR45" s="15">
        <v>1</v>
      </c>
      <c r="AS45" s="15" t="s">
        <v>109</v>
      </c>
      <c r="AT45" s="15" t="s">
        <v>190</v>
      </c>
      <c r="AU45" s="15" t="s">
        <v>191</v>
      </c>
      <c r="AV45" s="15" t="s">
        <v>156</v>
      </c>
      <c r="AW45" s="15" t="s">
        <v>136</v>
      </c>
      <c r="AX45" s="15" t="s">
        <v>157</v>
      </c>
      <c r="AY45" s="5">
        <v>43586</v>
      </c>
      <c r="AZ45" s="14">
        <v>8.3000000000000007</v>
      </c>
      <c r="BA45" s="29">
        <v>126</v>
      </c>
      <c r="BB45" s="29">
        <v>139</v>
      </c>
      <c r="BC45" s="15">
        <v>139</v>
      </c>
      <c r="BD45" s="28">
        <v>0</v>
      </c>
    </row>
    <row r="46" spans="1:56" ht="15.75">
      <c r="A46" s="1">
        <v>23</v>
      </c>
      <c r="B46" s="4" t="s">
        <v>192</v>
      </c>
      <c r="C46" s="15" t="s">
        <v>151</v>
      </c>
      <c r="D46" s="15" t="s">
        <v>193</v>
      </c>
      <c r="E46" s="15" t="s">
        <v>100</v>
      </c>
      <c r="F46" s="7" t="s">
        <v>73</v>
      </c>
      <c r="G46" s="17">
        <v>138</v>
      </c>
      <c r="H46" s="14">
        <v>1.0857142857142856</v>
      </c>
      <c r="I46" s="13" t="s">
        <v>329</v>
      </c>
      <c r="J46" s="15">
        <v>1</v>
      </c>
      <c r="K46" s="15">
        <v>1</v>
      </c>
      <c r="L46" s="15">
        <v>1</v>
      </c>
      <c r="M46" s="15">
        <v>0</v>
      </c>
      <c r="N46" s="15">
        <v>1</v>
      </c>
      <c r="O46" s="15">
        <v>1</v>
      </c>
      <c r="P46" s="15">
        <v>2</v>
      </c>
      <c r="Q46" s="15">
        <v>0</v>
      </c>
      <c r="R46" s="15">
        <v>1</v>
      </c>
      <c r="S46" s="15">
        <v>2</v>
      </c>
      <c r="T46" s="15">
        <v>1</v>
      </c>
      <c r="U46" s="15">
        <v>1</v>
      </c>
      <c r="V46" s="15">
        <v>2</v>
      </c>
      <c r="W46" s="15">
        <v>2</v>
      </c>
      <c r="X46" s="15">
        <v>1</v>
      </c>
      <c r="Y46" s="15">
        <v>2</v>
      </c>
      <c r="Z46" s="15">
        <v>2</v>
      </c>
      <c r="AA46" s="15">
        <v>1</v>
      </c>
      <c r="AB46" s="15">
        <v>1</v>
      </c>
      <c r="AC46" s="15">
        <v>0</v>
      </c>
      <c r="AD46" s="15">
        <v>1</v>
      </c>
      <c r="AE46" s="15">
        <v>1</v>
      </c>
      <c r="AF46" s="15">
        <v>3</v>
      </c>
      <c r="AG46" s="15">
        <v>1</v>
      </c>
      <c r="AH46" s="15">
        <v>2</v>
      </c>
      <c r="AI46" s="13">
        <v>0</v>
      </c>
      <c r="AJ46" s="15">
        <v>1</v>
      </c>
      <c r="AK46" s="15">
        <v>0</v>
      </c>
      <c r="AL46" s="15">
        <v>1</v>
      </c>
      <c r="AM46" s="15">
        <v>1</v>
      </c>
      <c r="AN46" s="15">
        <v>1</v>
      </c>
      <c r="AO46" s="15">
        <v>1</v>
      </c>
      <c r="AP46" s="15">
        <v>1</v>
      </c>
      <c r="AQ46" s="15">
        <v>0</v>
      </c>
      <c r="AR46" s="15">
        <v>1</v>
      </c>
      <c r="AS46" s="15" t="s">
        <v>109</v>
      </c>
      <c r="AT46" s="15" t="s">
        <v>194</v>
      </c>
      <c r="AU46" s="15" t="s">
        <v>195</v>
      </c>
      <c r="AV46" s="15" t="s">
        <v>156</v>
      </c>
      <c r="AW46" s="15" t="s">
        <v>136</v>
      </c>
      <c r="AX46" s="15" t="s">
        <v>157</v>
      </c>
      <c r="AY46" s="5">
        <v>43586</v>
      </c>
      <c r="AZ46" s="14">
        <v>8.3000000000000007</v>
      </c>
      <c r="BA46" s="29">
        <v>126</v>
      </c>
      <c r="BB46" s="29">
        <v>138</v>
      </c>
      <c r="BC46" s="15">
        <v>138</v>
      </c>
      <c r="BD46" s="28">
        <v>0</v>
      </c>
    </row>
    <row r="47" spans="1:56" ht="15.75">
      <c r="A47" s="1">
        <v>25</v>
      </c>
      <c r="B47" s="4" t="s">
        <v>205</v>
      </c>
      <c r="C47" s="15" t="s">
        <v>151</v>
      </c>
      <c r="D47" s="15" t="s">
        <v>206</v>
      </c>
      <c r="E47" s="15" t="s">
        <v>100</v>
      </c>
      <c r="F47" s="7" t="s">
        <v>73</v>
      </c>
      <c r="G47" s="17">
        <v>136</v>
      </c>
      <c r="H47" s="14">
        <v>1.0285714285714285</v>
      </c>
      <c r="I47" s="13" t="s">
        <v>329</v>
      </c>
      <c r="J47" s="15">
        <v>1</v>
      </c>
      <c r="K47" s="15">
        <v>1</v>
      </c>
      <c r="L47" s="15">
        <v>1</v>
      </c>
      <c r="M47" s="15">
        <v>0</v>
      </c>
      <c r="N47" s="15">
        <v>1</v>
      </c>
      <c r="O47" s="15">
        <v>1</v>
      </c>
      <c r="P47" s="15">
        <v>2</v>
      </c>
      <c r="Q47" s="15">
        <v>0</v>
      </c>
      <c r="R47" s="15">
        <v>1</v>
      </c>
      <c r="S47" s="15">
        <v>2</v>
      </c>
      <c r="T47" s="15">
        <v>1</v>
      </c>
      <c r="U47" s="15">
        <v>1</v>
      </c>
      <c r="V47" s="15">
        <v>2</v>
      </c>
      <c r="W47" s="15">
        <v>2</v>
      </c>
      <c r="X47" s="15">
        <v>1</v>
      </c>
      <c r="Y47" s="15">
        <v>1</v>
      </c>
      <c r="Z47" s="15">
        <v>1</v>
      </c>
      <c r="AA47" s="15">
        <v>1</v>
      </c>
      <c r="AB47" s="15">
        <v>1</v>
      </c>
      <c r="AC47" s="15">
        <v>0</v>
      </c>
      <c r="AD47" s="15">
        <v>1</v>
      </c>
      <c r="AE47" s="15">
        <v>1</v>
      </c>
      <c r="AF47" s="15">
        <v>3</v>
      </c>
      <c r="AG47" s="15">
        <v>1</v>
      </c>
      <c r="AH47" s="15">
        <v>2</v>
      </c>
      <c r="AI47" s="13">
        <v>0</v>
      </c>
      <c r="AJ47" s="15">
        <v>1</v>
      </c>
      <c r="AK47" s="15">
        <v>0</v>
      </c>
      <c r="AL47" s="15">
        <v>1</v>
      </c>
      <c r="AM47" s="15">
        <v>1</v>
      </c>
      <c r="AN47" s="15">
        <v>1</v>
      </c>
      <c r="AO47" s="15">
        <v>1</v>
      </c>
      <c r="AP47" s="15">
        <v>1</v>
      </c>
      <c r="AQ47" s="15">
        <v>0</v>
      </c>
      <c r="AR47" s="15">
        <v>1</v>
      </c>
      <c r="AS47" s="15" t="s">
        <v>109</v>
      </c>
      <c r="AT47" s="15" t="s">
        <v>207</v>
      </c>
      <c r="AU47" s="15" t="s">
        <v>195</v>
      </c>
      <c r="AV47" s="15" t="s">
        <v>156</v>
      </c>
      <c r="AW47" s="15" t="s">
        <v>136</v>
      </c>
      <c r="AX47" s="15" t="s">
        <v>157</v>
      </c>
      <c r="AY47" s="5">
        <v>43586</v>
      </c>
      <c r="AZ47" s="14">
        <v>8.3000000000000007</v>
      </c>
      <c r="BA47" s="29">
        <v>126</v>
      </c>
      <c r="BB47" s="29">
        <v>136</v>
      </c>
      <c r="BC47" s="15">
        <v>136</v>
      </c>
      <c r="BD47" s="28">
        <v>0</v>
      </c>
    </row>
    <row r="48" spans="1:56" ht="15.75">
      <c r="A48" s="1">
        <v>28</v>
      </c>
      <c r="B48" s="4" t="s">
        <v>208</v>
      </c>
      <c r="C48" s="15" t="s">
        <v>151</v>
      </c>
      <c r="D48" s="15" t="s">
        <v>209</v>
      </c>
      <c r="E48" s="15" t="s">
        <v>100</v>
      </c>
      <c r="F48" s="7" t="s">
        <v>73</v>
      </c>
      <c r="G48" s="17">
        <v>136</v>
      </c>
      <c r="H48" s="14">
        <v>1.0285714285714285</v>
      </c>
      <c r="I48" s="13" t="s">
        <v>329</v>
      </c>
      <c r="J48" s="15">
        <v>1</v>
      </c>
      <c r="K48" s="15">
        <v>1</v>
      </c>
      <c r="L48" s="15">
        <v>1</v>
      </c>
      <c r="M48" s="15">
        <v>0</v>
      </c>
      <c r="N48" s="15">
        <v>1</v>
      </c>
      <c r="O48" s="15">
        <v>1</v>
      </c>
      <c r="P48" s="15">
        <v>2</v>
      </c>
      <c r="Q48" s="15">
        <v>0</v>
      </c>
      <c r="R48" s="15">
        <v>1</v>
      </c>
      <c r="S48" s="15">
        <v>2</v>
      </c>
      <c r="T48" s="15">
        <v>1</v>
      </c>
      <c r="U48" s="15">
        <v>1</v>
      </c>
      <c r="V48" s="15">
        <v>3</v>
      </c>
      <c r="W48" s="15">
        <v>2</v>
      </c>
      <c r="X48" s="15">
        <v>1</v>
      </c>
      <c r="Y48" s="15">
        <v>2</v>
      </c>
      <c r="Z48" s="15">
        <v>1</v>
      </c>
      <c r="AA48" s="15">
        <v>0</v>
      </c>
      <c r="AB48" s="15">
        <v>1</v>
      </c>
      <c r="AC48" s="15">
        <v>0</v>
      </c>
      <c r="AD48" s="15">
        <v>1</v>
      </c>
      <c r="AE48" s="15">
        <v>1</v>
      </c>
      <c r="AF48" s="15">
        <v>3</v>
      </c>
      <c r="AG48" s="15">
        <v>1</v>
      </c>
      <c r="AH48" s="15">
        <v>1</v>
      </c>
      <c r="AI48" s="13">
        <v>1</v>
      </c>
      <c r="AJ48" s="15">
        <v>0</v>
      </c>
      <c r="AK48" s="15">
        <v>0</v>
      </c>
      <c r="AL48" s="15">
        <v>1</v>
      </c>
      <c r="AM48" s="15">
        <v>1</v>
      </c>
      <c r="AN48" s="15">
        <v>1</v>
      </c>
      <c r="AO48" s="15">
        <v>1</v>
      </c>
      <c r="AP48" s="15">
        <v>1</v>
      </c>
      <c r="AQ48" s="15">
        <v>0</v>
      </c>
      <c r="AR48" s="15">
        <v>1</v>
      </c>
      <c r="AS48" s="15" t="s">
        <v>109</v>
      </c>
      <c r="AT48" s="15" t="s">
        <v>210</v>
      </c>
      <c r="AU48" s="15" t="s">
        <v>210</v>
      </c>
      <c r="AV48" s="15" t="s">
        <v>156</v>
      </c>
      <c r="AW48" s="15" t="s">
        <v>136</v>
      </c>
      <c r="AX48" s="15" t="s">
        <v>157</v>
      </c>
      <c r="AY48" s="5">
        <v>43586</v>
      </c>
      <c r="AZ48" s="14">
        <v>8.3000000000000007</v>
      </c>
      <c r="BA48" s="29">
        <v>126</v>
      </c>
      <c r="BB48" s="29">
        <v>136</v>
      </c>
      <c r="BC48" s="15">
        <v>136</v>
      </c>
      <c r="BD48" s="28">
        <v>0</v>
      </c>
    </row>
    <row r="49" spans="1:56" ht="15.75">
      <c r="A49" s="1">
        <v>30</v>
      </c>
      <c r="B49" s="4" t="s">
        <v>216</v>
      </c>
      <c r="C49" s="15" t="s">
        <v>151</v>
      </c>
      <c r="D49" s="15" t="s">
        <v>217</v>
      </c>
      <c r="E49" s="15" t="s">
        <v>100</v>
      </c>
      <c r="F49" s="7" t="s">
        <v>73</v>
      </c>
      <c r="G49" s="17">
        <v>134</v>
      </c>
      <c r="H49" s="14">
        <v>0.97142857142857142</v>
      </c>
      <c r="I49" s="13" t="s">
        <v>330</v>
      </c>
      <c r="J49" s="15">
        <v>1</v>
      </c>
      <c r="K49" s="15">
        <v>1</v>
      </c>
      <c r="L49" s="15">
        <v>1</v>
      </c>
      <c r="M49" s="15">
        <v>0</v>
      </c>
      <c r="N49" s="15">
        <v>1</v>
      </c>
      <c r="O49" s="15">
        <v>1</v>
      </c>
      <c r="P49" s="15">
        <v>2</v>
      </c>
      <c r="Q49" s="15">
        <v>0</v>
      </c>
      <c r="R49" s="15">
        <v>1</v>
      </c>
      <c r="S49" s="15">
        <v>1</v>
      </c>
      <c r="T49" s="15">
        <v>1</v>
      </c>
      <c r="U49" s="15">
        <v>1</v>
      </c>
      <c r="V49" s="15">
        <v>2</v>
      </c>
      <c r="W49" s="15">
        <v>2</v>
      </c>
      <c r="X49" s="15">
        <v>1</v>
      </c>
      <c r="Y49" s="15">
        <v>2</v>
      </c>
      <c r="Z49" s="15">
        <v>2</v>
      </c>
      <c r="AA49" s="15">
        <v>1</v>
      </c>
      <c r="AB49" s="15">
        <v>1</v>
      </c>
      <c r="AC49" s="15">
        <v>0</v>
      </c>
      <c r="AD49" s="15">
        <v>1</v>
      </c>
      <c r="AE49" s="15">
        <v>1</v>
      </c>
      <c r="AF49" s="15">
        <v>3</v>
      </c>
      <c r="AG49" s="15">
        <v>1</v>
      </c>
      <c r="AH49" s="15">
        <v>1</v>
      </c>
      <c r="AI49" s="13">
        <v>0</v>
      </c>
      <c r="AJ49" s="15">
        <v>0</v>
      </c>
      <c r="AK49" s="15">
        <v>0</v>
      </c>
      <c r="AL49" s="15">
        <v>1</v>
      </c>
      <c r="AM49" s="15">
        <v>1</v>
      </c>
      <c r="AN49" s="15">
        <v>1</v>
      </c>
      <c r="AO49" s="15">
        <v>0</v>
      </c>
      <c r="AP49" s="15">
        <v>1</v>
      </c>
      <c r="AQ49" s="15">
        <v>0</v>
      </c>
      <c r="AR49" s="15">
        <v>1</v>
      </c>
      <c r="AS49" s="15" t="s">
        <v>109</v>
      </c>
      <c r="AT49" s="15" t="s">
        <v>218</v>
      </c>
      <c r="AU49" s="15" t="s">
        <v>219</v>
      </c>
      <c r="AV49" s="15" t="s">
        <v>156</v>
      </c>
      <c r="AW49" s="15" t="s">
        <v>136</v>
      </c>
      <c r="AX49" s="15" t="s">
        <v>157</v>
      </c>
      <c r="AY49" s="5">
        <v>43586</v>
      </c>
      <c r="AZ49" s="14">
        <v>8.3000000000000007</v>
      </c>
      <c r="BA49" s="29">
        <v>126</v>
      </c>
      <c r="BB49" s="29">
        <v>134</v>
      </c>
      <c r="BC49" s="15">
        <v>134</v>
      </c>
      <c r="BD49" s="28">
        <v>0</v>
      </c>
    </row>
    <row r="50" spans="1:56" ht="15.75">
      <c r="A50" s="1">
        <v>32</v>
      </c>
      <c r="B50" s="4" t="s">
        <v>220</v>
      </c>
      <c r="C50" s="15" t="s">
        <v>151</v>
      </c>
      <c r="D50" s="15" t="s">
        <v>221</v>
      </c>
      <c r="E50" s="15" t="s">
        <v>100</v>
      </c>
      <c r="F50" s="7" t="s">
        <v>73</v>
      </c>
      <c r="G50" s="17">
        <v>134</v>
      </c>
      <c r="H50" s="14">
        <v>0.97142857142857142</v>
      </c>
      <c r="I50" s="13" t="s">
        <v>330</v>
      </c>
      <c r="J50" s="15">
        <v>1</v>
      </c>
      <c r="K50" s="15">
        <v>1</v>
      </c>
      <c r="L50" s="15">
        <v>1</v>
      </c>
      <c r="M50" s="15">
        <v>0</v>
      </c>
      <c r="N50" s="15">
        <v>1</v>
      </c>
      <c r="O50" s="15">
        <v>1</v>
      </c>
      <c r="P50" s="15">
        <v>2</v>
      </c>
      <c r="Q50" s="15">
        <v>0</v>
      </c>
      <c r="R50" s="15">
        <v>1</v>
      </c>
      <c r="S50" s="15">
        <v>2</v>
      </c>
      <c r="T50" s="15">
        <v>1</v>
      </c>
      <c r="U50" s="15">
        <v>1</v>
      </c>
      <c r="V50" s="15">
        <v>2</v>
      </c>
      <c r="W50" s="15">
        <v>2</v>
      </c>
      <c r="X50" s="15">
        <v>1</v>
      </c>
      <c r="Y50" s="15">
        <v>1</v>
      </c>
      <c r="Z50" s="15">
        <v>1</v>
      </c>
      <c r="AA50" s="15">
        <v>1</v>
      </c>
      <c r="AB50" s="15">
        <v>1</v>
      </c>
      <c r="AC50" s="15">
        <v>0</v>
      </c>
      <c r="AD50" s="15">
        <v>1</v>
      </c>
      <c r="AE50" s="15">
        <v>1</v>
      </c>
      <c r="AF50" s="15">
        <v>3</v>
      </c>
      <c r="AG50" s="15">
        <v>1</v>
      </c>
      <c r="AH50" s="15">
        <v>1</v>
      </c>
      <c r="AI50" s="13">
        <v>0</v>
      </c>
      <c r="AJ50" s="15">
        <v>1</v>
      </c>
      <c r="AK50" s="15">
        <v>0</v>
      </c>
      <c r="AL50" s="15">
        <v>1</v>
      </c>
      <c r="AM50" s="15">
        <v>1</v>
      </c>
      <c r="AN50" s="15">
        <v>0</v>
      </c>
      <c r="AO50" s="15">
        <v>1</v>
      </c>
      <c r="AP50" s="15">
        <v>1</v>
      </c>
      <c r="AQ50" s="15">
        <v>0</v>
      </c>
      <c r="AR50" s="15">
        <v>1</v>
      </c>
      <c r="AS50" s="15" t="s">
        <v>109</v>
      </c>
      <c r="AT50" s="15" t="s">
        <v>222</v>
      </c>
      <c r="AU50" s="15" t="s">
        <v>195</v>
      </c>
      <c r="AV50" s="15" t="s">
        <v>156</v>
      </c>
      <c r="AW50" s="15" t="s">
        <v>136</v>
      </c>
      <c r="AX50" s="15" t="s">
        <v>157</v>
      </c>
      <c r="AY50" s="5">
        <v>43586</v>
      </c>
      <c r="AZ50" s="14">
        <v>8.3000000000000007</v>
      </c>
      <c r="BA50" s="29">
        <v>126</v>
      </c>
      <c r="BB50" s="29">
        <v>134</v>
      </c>
      <c r="BC50" s="15">
        <v>134</v>
      </c>
      <c r="BD50" s="28">
        <v>0</v>
      </c>
    </row>
    <row r="51" spans="1:56" ht="15.75">
      <c r="A51" s="1">
        <v>36</v>
      </c>
      <c r="B51" s="4" t="s">
        <v>244</v>
      </c>
      <c r="C51" s="15" t="s">
        <v>151</v>
      </c>
      <c r="D51" s="15"/>
      <c r="E51" s="15" t="s">
        <v>72</v>
      </c>
      <c r="F51" s="7" t="s">
        <v>73</v>
      </c>
      <c r="G51" s="17">
        <v>129</v>
      </c>
      <c r="H51" s="14">
        <v>0.82857142857142863</v>
      </c>
      <c r="I51" s="13" t="s">
        <v>330</v>
      </c>
      <c r="J51" s="15">
        <v>1</v>
      </c>
      <c r="K51" s="15">
        <v>1</v>
      </c>
      <c r="L51" s="15">
        <v>1</v>
      </c>
      <c r="M51" s="15">
        <v>0</v>
      </c>
      <c r="N51" s="15">
        <v>1</v>
      </c>
      <c r="O51" s="15">
        <v>2</v>
      </c>
      <c r="P51" s="15">
        <v>1</v>
      </c>
      <c r="Q51" s="15">
        <v>1</v>
      </c>
      <c r="R51" s="15">
        <v>0</v>
      </c>
      <c r="S51" s="15">
        <v>0</v>
      </c>
      <c r="T51" s="15">
        <v>0</v>
      </c>
      <c r="U51" s="15">
        <v>1</v>
      </c>
      <c r="V51" s="15">
        <v>3</v>
      </c>
      <c r="W51" s="15">
        <v>1</v>
      </c>
      <c r="X51" s="15">
        <v>1</v>
      </c>
      <c r="Y51" s="15">
        <v>1</v>
      </c>
      <c r="Z51" s="15">
        <v>1</v>
      </c>
      <c r="AA51" s="15">
        <v>1</v>
      </c>
      <c r="AB51" s="15">
        <v>1</v>
      </c>
      <c r="AC51" s="15">
        <v>0</v>
      </c>
      <c r="AD51" s="15">
        <v>1</v>
      </c>
      <c r="AE51" s="15">
        <v>1</v>
      </c>
      <c r="AF51" s="15">
        <v>3</v>
      </c>
      <c r="AG51" s="15">
        <v>1</v>
      </c>
      <c r="AH51" s="15">
        <v>1</v>
      </c>
      <c r="AI51" s="13">
        <v>0</v>
      </c>
      <c r="AJ51" s="15">
        <v>0</v>
      </c>
      <c r="AK51" s="15">
        <v>0</v>
      </c>
      <c r="AL51" s="15">
        <v>0</v>
      </c>
      <c r="AM51" s="15">
        <v>1</v>
      </c>
      <c r="AN51" s="15">
        <v>1</v>
      </c>
      <c r="AO51" s="15">
        <v>1</v>
      </c>
      <c r="AP51" s="15">
        <v>0</v>
      </c>
      <c r="AQ51" s="15">
        <v>0</v>
      </c>
      <c r="AR51" s="15">
        <v>1</v>
      </c>
      <c r="AS51" s="15" t="s">
        <v>76</v>
      </c>
      <c r="AT51" s="15" t="s">
        <v>246</v>
      </c>
      <c r="AU51" s="15"/>
      <c r="AV51" s="15" t="s">
        <v>156</v>
      </c>
      <c r="AW51" s="15" t="s">
        <v>136</v>
      </c>
      <c r="AX51" s="15" t="s">
        <v>157</v>
      </c>
      <c r="AY51" s="5">
        <v>43586</v>
      </c>
      <c r="AZ51" s="14">
        <v>8.3000000000000007</v>
      </c>
      <c r="BA51" s="29">
        <v>120</v>
      </c>
      <c r="BB51" s="29">
        <v>129</v>
      </c>
      <c r="BC51" s="15">
        <v>129</v>
      </c>
      <c r="BD51" s="28">
        <v>0</v>
      </c>
    </row>
    <row r="52" spans="1:56" ht="15.75">
      <c r="A52" s="1">
        <v>39</v>
      </c>
      <c r="B52" s="4" t="s">
        <v>254</v>
      </c>
      <c r="C52" s="15" t="s">
        <v>255</v>
      </c>
      <c r="D52" s="15" t="s">
        <v>256</v>
      </c>
      <c r="E52" s="15" t="s">
        <v>86</v>
      </c>
      <c r="F52" s="7" t="s">
        <v>73</v>
      </c>
      <c r="G52" s="17">
        <v>128</v>
      </c>
      <c r="H52" s="14">
        <v>0.8</v>
      </c>
      <c r="I52" s="13" t="s">
        <v>330</v>
      </c>
      <c r="J52" s="15">
        <v>1</v>
      </c>
      <c r="K52" s="15">
        <v>1</v>
      </c>
      <c r="L52" s="15">
        <v>2</v>
      </c>
      <c r="M52" s="15">
        <v>0</v>
      </c>
      <c r="N52" s="15">
        <v>1</v>
      </c>
      <c r="O52" s="15">
        <v>1</v>
      </c>
      <c r="P52" s="15">
        <v>2</v>
      </c>
      <c r="Q52" s="15">
        <v>2</v>
      </c>
      <c r="R52" s="15">
        <v>1</v>
      </c>
      <c r="S52" s="15">
        <v>2</v>
      </c>
      <c r="T52" s="15">
        <v>0</v>
      </c>
      <c r="U52" s="15">
        <v>0</v>
      </c>
      <c r="V52" s="15">
        <v>3</v>
      </c>
      <c r="W52" s="15">
        <v>1</v>
      </c>
      <c r="X52" s="15">
        <v>1</v>
      </c>
      <c r="Y52" s="15">
        <v>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1</v>
      </c>
      <c r="AF52" s="15">
        <v>0</v>
      </c>
      <c r="AG52" s="15">
        <v>0</v>
      </c>
      <c r="AH52" s="15">
        <v>2</v>
      </c>
      <c r="AI52" s="13">
        <v>1</v>
      </c>
      <c r="AJ52" s="15">
        <v>0</v>
      </c>
      <c r="AK52" s="15">
        <v>0</v>
      </c>
      <c r="AL52" s="15">
        <v>0</v>
      </c>
      <c r="AM52" s="15">
        <v>1</v>
      </c>
      <c r="AN52" s="15">
        <v>0</v>
      </c>
      <c r="AO52" s="15">
        <v>3</v>
      </c>
      <c r="AP52" s="15">
        <v>1</v>
      </c>
      <c r="AQ52" s="15">
        <v>0</v>
      </c>
      <c r="AR52" s="15">
        <v>0</v>
      </c>
      <c r="AS52" s="15" t="s">
        <v>88</v>
      </c>
      <c r="AT52" s="15" t="s">
        <v>257</v>
      </c>
      <c r="AU52" s="15" t="s">
        <v>258</v>
      </c>
      <c r="AV52" s="15" t="s">
        <v>259</v>
      </c>
      <c r="AW52" s="15" t="s">
        <v>260</v>
      </c>
      <c r="AX52" s="15" t="s">
        <v>157</v>
      </c>
      <c r="AY52" s="5">
        <v>43586</v>
      </c>
      <c r="AZ52" s="14">
        <v>8.3000000000000007</v>
      </c>
      <c r="BA52" s="29">
        <v>128</v>
      </c>
      <c r="BB52" s="29">
        <v>127</v>
      </c>
      <c r="BC52" s="15">
        <v>128</v>
      </c>
      <c r="BD52" s="28">
        <v>1</v>
      </c>
    </row>
    <row r="53" spans="1:56" ht="15.75">
      <c r="A53" s="1">
        <v>42</v>
      </c>
      <c r="B53" s="4" t="s">
        <v>265</v>
      </c>
      <c r="C53" s="15" t="s">
        <v>255</v>
      </c>
      <c r="D53" s="15" t="s">
        <v>266</v>
      </c>
      <c r="E53" s="15" t="s">
        <v>86</v>
      </c>
      <c r="F53" s="7" t="s">
        <v>73</v>
      </c>
      <c r="G53" s="17">
        <v>125</v>
      </c>
      <c r="H53" s="14">
        <v>0.7142857142857143</v>
      </c>
      <c r="I53" s="13" t="s">
        <v>330</v>
      </c>
      <c r="J53" s="15">
        <v>1</v>
      </c>
      <c r="K53" s="15">
        <v>1</v>
      </c>
      <c r="L53" s="15">
        <v>2</v>
      </c>
      <c r="M53" s="15">
        <v>0</v>
      </c>
      <c r="N53" s="15">
        <v>0</v>
      </c>
      <c r="O53" s="15">
        <v>0</v>
      </c>
      <c r="P53" s="15">
        <v>2</v>
      </c>
      <c r="Q53" s="15">
        <v>2</v>
      </c>
      <c r="R53" s="15">
        <v>1</v>
      </c>
      <c r="S53" s="15">
        <v>2</v>
      </c>
      <c r="T53" s="15">
        <v>1</v>
      </c>
      <c r="U53" s="15">
        <v>0</v>
      </c>
      <c r="V53" s="15">
        <v>2</v>
      </c>
      <c r="W53" s="15">
        <v>1</v>
      </c>
      <c r="X53" s="15">
        <v>1</v>
      </c>
      <c r="Y53" s="15">
        <v>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1</v>
      </c>
      <c r="AF53" s="15">
        <v>0</v>
      </c>
      <c r="AG53" s="15">
        <v>0</v>
      </c>
      <c r="AH53" s="15">
        <v>1</v>
      </c>
      <c r="AI53" s="13">
        <v>1</v>
      </c>
      <c r="AJ53" s="15">
        <v>0</v>
      </c>
      <c r="AK53" s="15">
        <v>0</v>
      </c>
      <c r="AL53" s="15">
        <v>0</v>
      </c>
      <c r="AM53" s="15">
        <v>1</v>
      </c>
      <c r="AN53" s="15">
        <v>0</v>
      </c>
      <c r="AO53" s="15">
        <v>3</v>
      </c>
      <c r="AP53" s="15">
        <v>1</v>
      </c>
      <c r="AQ53" s="15">
        <v>0</v>
      </c>
      <c r="AR53" s="15">
        <v>0</v>
      </c>
      <c r="AS53" s="15" t="s">
        <v>88</v>
      </c>
      <c r="AT53" s="15" t="s">
        <v>267</v>
      </c>
      <c r="AU53" s="15" t="s">
        <v>258</v>
      </c>
      <c r="AV53" s="15" t="s">
        <v>259</v>
      </c>
      <c r="AW53" s="15" t="s">
        <v>260</v>
      </c>
      <c r="AX53" s="15" t="s">
        <v>157</v>
      </c>
      <c r="AY53" s="5">
        <v>43586</v>
      </c>
      <c r="AZ53" s="14">
        <v>8.3000000000000007</v>
      </c>
      <c r="BA53" s="29">
        <v>127</v>
      </c>
      <c r="BB53" s="29">
        <v>125</v>
      </c>
      <c r="BC53" s="15">
        <v>125</v>
      </c>
      <c r="BD53" s="28">
        <v>0</v>
      </c>
    </row>
    <row r="54" spans="1:56" ht="15.75">
      <c r="A54" s="1">
        <v>50</v>
      </c>
      <c r="B54" s="4" t="s">
        <v>291</v>
      </c>
      <c r="C54" s="15" t="s">
        <v>255</v>
      </c>
      <c r="D54" s="15" t="s">
        <v>292</v>
      </c>
      <c r="E54" s="15" t="s">
        <v>86</v>
      </c>
      <c r="F54" s="7" t="s">
        <v>73</v>
      </c>
      <c r="G54" s="17">
        <v>119</v>
      </c>
      <c r="H54" s="14">
        <v>0.54285714285714282</v>
      </c>
      <c r="I54" s="13" t="s">
        <v>330</v>
      </c>
      <c r="J54" s="15">
        <v>1</v>
      </c>
      <c r="K54" s="15">
        <v>1</v>
      </c>
      <c r="L54" s="15">
        <v>2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1</v>
      </c>
      <c r="S54" s="15">
        <v>2</v>
      </c>
      <c r="T54" s="15">
        <v>0</v>
      </c>
      <c r="U54" s="15">
        <v>0</v>
      </c>
      <c r="V54" s="15">
        <v>2</v>
      </c>
      <c r="W54" s="15">
        <v>1</v>
      </c>
      <c r="X54" s="15">
        <v>1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1</v>
      </c>
      <c r="AF54" s="15">
        <v>0</v>
      </c>
      <c r="AG54" s="15">
        <v>0</v>
      </c>
      <c r="AH54" s="15">
        <v>1</v>
      </c>
      <c r="AI54" s="13">
        <v>1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3</v>
      </c>
      <c r="AP54" s="15">
        <v>1</v>
      </c>
      <c r="AQ54" s="15">
        <v>0</v>
      </c>
      <c r="AR54" s="15">
        <v>0</v>
      </c>
      <c r="AS54" s="15" t="s">
        <v>88</v>
      </c>
      <c r="AT54" s="15" t="s">
        <v>293</v>
      </c>
      <c r="AU54" s="15" t="s">
        <v>294</v>
      </c>
      <c r="AV54" s="15" t="s">
        <v>259</v>
      </c>
      <c r="AW54" s="15" t="s">
        <v>260</v>
      </c>
      <c r="AX54" s="15" t="s">
        <v>157</v>
      </c>
      <c r="AY54" s="5">
        <v>43586</v>
      </c>
      <c r="AZ54" s="14">
        <v>8.3000000000000007</v>
      </c>
      <c r="BA54" s="29">
        <v>123</v>
      </c>
      <c r="BB54" s="29">
        <v>118</v>
      </c>
      <c r="BC54" s="15">
        <v>119</v>
      </c>
      <c r="BD54" s="28">
        <v>1</v>
      </c>
    </row>
    <row r="55" spans="1:56" ht="15.75">
      <c r="A55" s="1">
        <v>52</v>
      </c>
      <c r="B55" s="4" t="s">
        <v>299</v>
      </c>
      <c r="C55" s="15" t="s">
        <v>255</v>
      </c>
      <c r="D55" s="15" t="s">
        <v>300</v>
      </c>
      <c r="E55" s="15" t="s">
        <v>72</v>
      </c>
      <c r="F55" s="7" t="s">
        <v>73</v>
      </c>
      <c r="G55" s="17">
        <v>118</v>
      </c>
      <c r="H55" s="14">
        <v>0.51428571428571423</v>
      </c>
      <c r="I55" s="13" t="s">
        <v>330</v>
      </c>
      <c r="J55" s="15">
        <v>1</v>
      </c>
      <c r="K55" s="15">
        <v>1</v>
      </c>
      <c r="L55" s="15">
        <v>1</v>
      </c>
      <c r="M55" s="15">
        <v>0</v>
      </c>
      <c r="N55" s="15">
        <v>0</v>
      </c>
      <c r="O55" s="15">
        <v>0</v>
      </c>
      <c r="P55" s="15">
        <v>2</v>
      </c>
      <c r="Q55" s="15">
        <v>0</v>
      </c>
      <c r="R55" s="15">
        <v>1</v>
      </c>
      <c r="S55" s="15">
        <v>2</v>
      </c>
      <c r="T55" s="15">
        <v>0</v>
      </c>
      <c r="U55" s="15">
        <v>0</v>
      </c>
      <c r="V55" s="15">
        <v>2</v>
      </c>
      <c r="W55" s="15">
        <v>2</v>
      </c>
      <c r="X55" s="15">
        <v>1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</v>
      </c>
      <c r="AF55" s="15">
        <v>0</v>
      </c>
      <c r="AG55" s="15">
        <v>0</v>
      </c>
      <c r="AH55" s="15">
        <v>1</v>
      </c>
      <c r="AI55" s="13">
        <v>0</v>
      </c>
      <c r="AJ55" s="15">
        <v>0</v>
      </c>
      <c r="AK55" s="15">
        <v>0</v>
      </c>
      <c r="AL55" s="15">
        <v>0</v>
      </c>
      <c r="AM55" s="15">
        <v>1</v>
      </c>
      <c r="AN55" s="15">
        <v>0</v>
      </c>
      <c r="AO55" s="15">
        <v>2</v>
      </c>
      <c r="AP55" s="15">
        <v>0</v>
      </c>
      <c r="AQ55" s="15">
        <v>0</v>
      </c>
      <c r="AR55" s="15">
        <v>0</v>
      </c>
      <c r="AS55" s="15" t="s">
        <v>76</v>
      </c>
      <c r="AT55" s="15" t="s">
        <v>301</v>
      </c>
      <c r="AU55" s="15" t="s">
        <v>258</v>
      </c>
      <c r="AV55" s="15" t="s">
        <v>259</v>
      </c>
      <c r="AW55" s="15" t="s">
        <v>260</v>
      </c>
      <c r="AX55" s="15" t="s">
        <v>157</v>
      </c>
      <c r="AY55" s="5">
        <v>43586</v>
      </c>
      <c r="AZ55" s="14">
        <v>8.3000000000000007</v>
      </c>
      <c r="BA55" s="29">
        <v>122</v>
      </c>
      <c r="BB55" s="29">
        <v>118</v>
      </c>
      <c r="BC55" s="15">
        <v>118</v>
      </c>
      <c r="BD55" s="28">
        <v>0</v>
      </c>
    </row>
    <row r="56" spans="1:56" ht="15.75">
      <c r="A56" s="1">
        <v>53</v>
      </c>
      <c r="B56" s="4" t="s">
        <v>303</v>
      </c>
      <c r="C56" s="15" t="s">
        <v>255</v>
      </c>
      <c r="D56" s="15" t="s">
        <v>266</v>
      </c>
      <c r="E56" s="15" t="s">
        <v>100</v>
      </c>
      <c r="F56" s="7" t="s">
        <v>73</v>
      </c>
      <c r="G56" s="17">
        <v>112</v>
      </c>
      <c r="H56" s="14">
        <v>0.34285714285714286</v>
      </c>
      <c r="I56" s="13" t="s">
        <v>330</v>
      </c>
      <c r="J56" s="15">
        <v>1</v>
      </c>
      <c r="K56" s="15">
        <v>0</v>
      </c>
      <c r="L56" s="15">
        <v>0</v>
      </c>
      <c r="M56" s="15">
        <v>1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2</v>
      </c>
      <c r="Y56" s="15">
        <v>0</v>
      </c>
      <c r="Z56" s="15">
        <v>0</v>
      </c>
      <c r="AA56" s="15">
        <v>1</v>
      </c>
      <c r="AB56" s="15">
        <v>1</v>
      </c>
      <c r="AC56" s="15">
        <v>0</v>
      </c>
      <c r="AD56" s="15">
        <v>0</v>
      </c>
      <c r="AE56" s="15">
        <v>1</v>
      </c>
      <c r="AF56" s="15">
        <v>0</v>
      </c>
      <c r="AG56" s="15">
        <v>0</v>
      </c>
      <c r="AH56" s="15">
        <v>1</v>
      </c>
      <c r="AI56" s="13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3</v>
      </c>
      <c r="AP56" s="15">
        <v>1</v>
      </c>
      <c r="AQ56" s="15">
        <v>0</v>
      </c>
      <c r="AR56" s="15">
        <v>0</v>
      </c>
      <c r="AS56" s="15" t="s">
        <v>88</v>
      </c>
      <c r="AT56" s="16" t="s">
        <v>304</v>
      </c>
      <c r="AU56" s="16" t="s">
        <v>258</v>
      </c>
      <c r="AV56" s="16" t="s">
        <v>259</v>
      </c>
      <c r="AW56" s="15" t="s">
        <v>260</v>
      </c>
      <c r="AX56" s="15" t="s">
        <v>157</v>
      </c>
      <c r="AY56" s="5">
        <v>43586</v>
      </c>
      <c r="AZ56" s="14">
        <v>8.3000000000000007</v>
      </c>
      <c r="BA56" s="29">
        <v>0</v>
      </c>
      <c r="BB56" s="29">
        <v>112</v>
      </c>
      <c r="BC56" s="15">
        <v>112</v>
      </c>
      <c r="BD56" s="28">
        <v>0</v>
      </c>
    </row>
  </sheetData>
  <conditionalFormatting sqref="I5:I12">
    <cfRule type="cellIs" dxfId="21" priority="18" operator="equal">
      <formula>"Legendary"</formula>
    </cfRule>
    <cfRule type="cellIs" dxfId="20" priority="19" operator="equal">
      <formula>"Avenger"</formula>
    </cfRule>
    <cfRule type="cellIs" dxfId="19" priority="20" operator="equal">
      <formula>"Superhero"</formula>
    </cfRule>
  </conditionalFormatting>
  <conditionalFormatting sqref="F5:F12">
    <cfRule type="cellIs" dxfId="18" priority="21" operator="equal">
      <formula>"Not Started"</formula>
    </cfRule>
    <cfRule type="cellIs" dxfId="17" priority="22" operator="equal">
      <formula>"In Progress"</formula>
    </cfRule>
    <cfRule type="cellIs" dxfId="16" priority="23" operator="equal">
      <formula>"Done"</formula>
    </cfRule>
  </conditionalFormatting>
  <conditionalFormatting sqref="J5:AL12">
    <cfRule type="containsBlanks" dxfId="15" priority="13" stopIfTrue="1">
      <formula>LEN(TRIM(J5))=0</formula>
    </cfRule>
    <cfRule type="cellIs" dxfId="14" priority="14" operator="equal">
      <formula>0</formula>
    </cfRule>
    <cfRule type="cellIs" dxfId="13" priority="15" operator="equal">
      <formula>1</formula>
    </cfRule>
    <cfRule type="cellIs" dxfId="12" priority="16" operator="equal">
      <formula>2</formula>
    </cfRule>
    <cfRule type="cellIs" dxfId="11" priority="17" operator="equal">
      <formula>3</formula>
    </cfRule>
  </conditionalFormatting>
  <conditionalFormatting sqref="I44:I56">
    <cfRule type="cellIs" dxfId="10" priority="7" operator="equal">
      <formula>"Legendary"</formula>
    </cfRule>
    <cfRule type="cellIs" dxfId="9" priority="8" operator="equal">
      <formula>"Avenger"</formula>
    </cfRule>
    <cfRule type="cellIs" dxfId="8" priority="9" operator="equal">
      <formula>"Superhero"</formula>
    </cfRule>
  </conditionalFormatting>
  <conditionalFormatting sqref="F44:F56">
    <cfRule type="cellIs" dxfId="7" priority="10" operator="equal">
      <formula>"Not Started"</formula>
    </cfRule>
    <cfRule type="cellIs" dxfId="6" priority="11" operator="equal">
      <formula>"In Progress"</formula>
    </cfRule>
    <cfRule type="cellIs" dxfId="5" priority="12" operator="equal">
      <formula>"Done"</formula>
    </cfRule>
  </conditionalFormatting>
  <conditionalFormatting sqref="J44:AR56">
    <cfRule type="containsBlanks" dxfId="4" priority="2" stopIfTrue="1">
      <formula>LEN(TRIM(J44))=0</formula>
    </cfRule>
    <cfRule type="cellIs" dxfId="3" priority="3" operator="equal">
      <formula>0</formula>
    </cfRule>
    <cfRule type="cellIs" dxfId="2" priority="4" operator="equal">
      <formula>1</formula>
    </cfRule>
    <cfRule type="cellIs" dxfId="1" priority="5" operator="equal">
      <formula>2</formula>
    </cfRule>
    <cfRule type="cellIs" dxfId="0" priority="6" operator="equal">
      <formula>3</formula>
    </cfRule>
  </conditionalFormatting>
  <conditionalFormatting sqref="BD44:BD5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CCC4F97-70A8-42F1-B86C-5C9310A84021}">
          <x14:formula1>
            <xm:f>lov!$B$4:$B$6</xm:f>
          </x14:formula1>
          <xm:sqref>F5:F12 F44:F56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2688-75E5-48CD-A778-D01209BA9002}">
  <dimension ref="A1:AD35"/>
  <sheetViews>
    <sheetView workbookViewId="0">
      <pane ySplit="1" topLeftCell="A2" activePane="bottomLeft" state="frozen"/>
      <selection pane="bottomLeft" activeCell="K1" sqref="K1"/>
      <selection activeCell="C36" sqref="C36"/>
    </sheetView>
  </sheetViews>
  <sheetFormatPr defaultColWidth="15.42578125" defaultRowHeight="15"/>
  <cols>
    <col min="1" max="1" width="14" style="11" bestFit="1" customWidth="1"/>
    <col min="2" max="2" width="15.42578125" style="11" bestFit="1" customWidth="1"/>
    <col min="3" max="3" width="8.140625" style="11" bestFit="1" customWidth="1"/>
    <col min="4" max="4" width="3.5703125" style="11" bestFit="1" customWidth="1"/>
    <col min="5" max="5" width="4.5703125" style="11" bestFit="1" customWidth="1"/>
    <col min="6" max="6" width="3.5703125" style="11" bestFit="1" customWidth="1"/>
    <col min="7" max="8" width="11.42578125" style="11" bestFit="1" customWidth="1"/>
    <col min="9" max="9" width="6.42578125" style="11" bestFit="1" customWidth="1"/>
    <col min="10" max="10" width="7" style="11" bestFit="1" customWidth="1"/>
    <col min="11" max="11" width="7.140625" style="11" bestFit="1" customWidth="1"/>
    <col min="12" max="12" width="4.42578125" style="11" bestFit="1" customWidth="1"/>
    <col min="13" max="13" width="8" style="11" bestFit="1" customWidth="1"/>
    <col min="14" max="14" width="3.5703125" style="11" bestFit="1" customWidth="1"/>
    <col min="15" max="15" width="7.5703125" style="11" bestFit="1" customWidth="1"/>
    <col min="16" max="16" width="4" style="11" bestFit="1" customWidth="1"/>
    <col min="17" max="17" width="12" style="11" bestFit="1" customWidth="1"/>
    <col min="18" max="18" width="7.140625" style="11" bestFit="1" customWidth="1"/>
    <col min="19" max="19" width="11.140625" style="11" bestFit="1" customWidth="1"/>
    <col min="20" max="20" width="11.5703125" style="11" bestFit="1" customWidth="1"/>
    <col min="21" max="21" width="9.5703125" style="11" bestFit="1" customWidth="1"/>
    <col min="22" max="22" width="11.42578125" style="11" bestFit="1" customWidth="1"/>
    <col min="23" max="23" width="11.5703125" style="11" bestFit="1" customWidth="1"/>
    <col min="24" max="24" width="11.5703125" style="11" customWidth="1"/>
    <col min="25" max="25" width="8.42578125" style="11" bestFit="1" customWidth="1"/>
    <col min="26" max="26" width="14.42578125" style="11" customWidth="1"/>
    <col min="27" max="27" width="9.42578125" style="11" bestFit="1" customWidth="1"/>
    <col min="28" max="28" width="5.42578125" style="11" bestFit="1" customWidth="1"/>
    <col min="29" max="29" width="11.42578125" style="11" bestFit="1" customWidth="1"/>
    <col min="30" max="16384" width="15.42578125" style="11"/>
  </cols>
  <sheetData>
    <row r="1" spans="1:30" s="12" customFormat="1" ht="30.6" customHeight="1">
      <c r="A1" s="12" t="s">
        <v>331</v>
      </c>
      <c r="B1" s="12" t="s">
        <v>332</v>
      </c>
      <c r="C1" t="s">
        <v>93</v>
      </c>
      <c r="D1" t="s">
        <v>268</v>
      </c>
      <c r="E1" t="s">
        <v>127</v>
      </c>
      <c r="F1" t="s">
        <v>295</v>
      </c>
      <c r="G1" t="s">
        <v>204</v>
      </c>
      <c r="H1" t="s">
        <v>199</v>
      </c>
      <c r="I1" t="s">
        <v>272</v>
      </c>
      <c r="J1" t="s">
        <v>238</v>
      </c>
      <c r="K1" t="s">
        <v>333</v>
      </c>
      <c r="L1" t="s">
        <v>302</v>
      </c>
      <c r="M1" t="s">
        <v>230</v>
      </c>
      <c r="N1" t="s">
        <v>292</v>
      </c>
      <c r="O1" t="s">
        <v>134</v>
      </c>
      <c r="P1" t="s">
        <v>334</v>
      </c>
      <c r="Q1" t="s">
        <v>114</v>
      </c>
      <c r="R1" t="s">
        <v>70</v>
      </c>
      <c r="S1" t="s">
        <v>98</v>
      </c>
      <c r="T1" t="s">
        <v>151</v>
      </c>
      <c r="U1" t="s">
        <v>335</v>
      </c>
      <c r="V1" t="s">
        <v>251</v>
      </c>
      <c r="W1" t="s">
        <v>185</v>
      </c>
      <c r="X1" t="s">
        <v>336</v>
      </c>
      <c r="Y1" t="s">
        <v>58</v>
      </c>
      <c r="Z1" t="s">
        <v>278</v>
      </c>
      <c r="AA1" t="s">
        <v>143</v>
      </c>
      <c r="AB1" t="s">
        <v>211</v>
      </c>
      <c r="AC1" t="s">
        <v>255</v>
      </c>
      <c r="AD1" s="12" t="s">
        <v>337</v>
      </c>
    </row>
    <row r="2" spans="1:30" ht="30">
      <c r="A2" s="11" t="s">
        <v>1</v>
      </c>
      <c r="B2" s="11" t="s">
        <v>22</v>
      </c>
      <c r="C2" s="11">
        <f>SUMPRODUCT((Original!$C$3:$C$58='by Product &amp; AIM Area'!C$1)*(Original!$O$2:$AW$2='by Product &amp; AIM Area'!$B2)*(Original!$O$3:$AW$58))
/
SUMPRODUCT((Original!$C$3:$C$58='by Product &amp; AIM Area'!C$1)*(Original!$J$2:$AW$2='by Product &amp; AIM Area'!$B2))</f>
        <v>2</v>
      </c>
      <c r="D2" s="11">
        <f>SUMPRODUCT((Original!$C$3:$C$58='by Product &amp; AIM Area'!D$1)*(Original!$O$2:$AW$2='by Product &amp; AIM Area'!$B2)*(Original!$O$3:$AW$58))
/
SUMPRODUCT((Original!$C$3:$C$58='by Product &amp; AIM Area'!D$1)*(Original!$J$2:$AW$2='by Product &amp; AIM Area'!$B2))</f>
        <v>1</v>
      </c>
      <c r="E2" s="11">
        <f>SUMPRODUCT((Original!$C$3:$C$58='by Product &amp; AIM Area'!E$1)*(Original!$O$2:$AW$2='by Product &amp; AIM Area'!$B2)*(Original!$O$3:$AW$58))
/
SUMPRODUCT((Original!$C$3:$C$58='by Product &amp; AIM Area'!E$1)*(Original!$J$2:$AW$2='by Product &amp; AIM Area'!$B2))</f>
        <v>1</v>
      </c>
      <c r="F2" s="11" t="e">
        <f>SUMPRODUCT((Original!$C$3:$C$58='by Product &amp; AIM Area'!F$1)*(Original!$O$2:$AW$2='by Product &amp; AIM Area'!$B2)*(Original!$O$3:$AW$58))
/
SUMPRODUCT((Original!$C$3:$C$58='by Product &amp; AIM Area'!F$1)*(Original!$J$2:$AW$2='by Product &amp; AIM Area'!$B2))</f>
        <v>#DIV/0!</v>
      </c>
      <c r="G2" s="11" t="e">
        <f>SUMPRODUCT((Original!$C$3:$C$58='by Product &amp; AIM Area'!G$1)*(Original!$O$2:$AW$2='by Product &amp; AIM Area'!$B2)*(Original!$O$3:$AW$58))
/
SUMPRODUCT((Original!$C$3:$C$58='by Product &amp; AIM Area'!G$1)*(Original!$J$2:$AW$2='by Product &amp; AIM Area'!$B2))</f>
        <v>#DIV/0!</v>
      </c>
      <c r="H2" s="11" t="e">
        <f>SUMPRODUCT((Original!$C$3:$C$58='by Product &amp; AIM Area'!H$1)*(Original!$O$2:$AW$2='by Product &amp; AIM Area'!$B2)*(Original!$O$3:$AW$58))
/
SUMPRODUCT((Original!$C$3:$C$58='by Product &amp; AIM Area'!H$1)*(Original!$J$2:$AW$2='by Product &amp; AIM Area'!$B2))</f>
        <v>#DIV/0!</v>
      </c>
      <c r="I2" s="11">
        <f>SUMPRODUCT((Original!$C$3:$C$58='by Product &amp; AIM Area'!I$1)*(Original!$O$2:$AW$2='by Product &amp; AIM Area'!$B2)*(Original!$O$3:$AW$58))
/
SUMPRODUCT((Original!$C$3:$C$58='by Product &amp; AIM Area'!I$1)*(Original!$J$2:$AW$2='by Product &amp; AIM Area'!$B2))</f>
        <v>1</v>
      </c>
      <c r="J2" s="11">
        <f>SUMPRODUCT((Original!$C$3:$C$58='by Product &amp; AIM Area'!J$1)*(Original!$O$2:$AW$2='by Product &amp; AIM Area'!$B2)*(Original!$O$3:$AW$58))
/
SUMPRODUCT((Original!$C$3:$C$58='by Product &amp; AIM Area'!J$1)*(Original!$J$2:$AW$2='by Product &amp; AIM Area'!$B2))</f>
        <v>1</v>
      </c>
      <c r="K2" s="11" t="e">
        <f>SUMPRODUCT((Original!$C$3:$C$58='by Product &amp; AIM Area'!K$1)*(Original!$O$2:$AW$2='by Product &amp; AIM Area'!$B2)*(Original!$O$3:$AW$58))
/
SUMPRODUCT((Original!$C$3:$C$58='by Product &amp; AIM Area'!K$1)*(Original!$J$2:$AW$2='by Product &amp; AIM Area'!$B2))</f>
        <v>#DIV/0!</v>
      </c>
      <c r="L2" s="11" t="e">
        <f>SUMPRODUCT((Original!$C$3:$C$58='by Product &amp; AIM Area'!L$1)*(Original!$O$2:$AW$2='by Product &amp; AIM Area'!$B2)*(Original!$O$3:$AW$58))
/
SUMPRODUCT((Original!$C$3:$C$58='by Product &amp; AIM Area'!L$1)*(Original!$J$2:$AW$2='by Product &amp; AIM Area'!$B2))</f>
        <v>#DIV/0!</v>
      </c>
      <c r="M2" s="11">
        <f>SUMPRODUCT((Original!$C$3:$C$58='by Product &amp; AIM Area'!M$1)*(Original!$O$2:$AW$2='by Product &amp; AIM Area'!$B2)*(Original!$O$3:$AW$58))
/
SUMPRODUCT((Original!$C$3:$C$58='by Product &amp; AIM Area'!M$1)*(Original!$J$2:$AW$2='by Product &amp; AIM Area'!$B2))</f>
        <v>1</v>
      </c>
      <c r="N2" s="11" t="e">
        <f>SUMPRODUCT((Original!$C$3:$C$58='by Product &amp; AIM Area'!N$1)*(Original!$O$2:$AW$2='by Product &amp; AIM Area'!$B2)*(Original!$O$3:$AW$58))
/
SUMPRODUCT((Original!$C$3:$C$58='by Product &amp; AIM Area'!N$1)*(Original!$J$2:$AW$2='by Product &amp; AIM Area'!$B2))</f>
        <v>#DIV/0!</v>
      </c>
      <c r="O2" s="11">
        <f>SUMPRODUCT((Original!$C$3:$C$58='by Product &amp; AIM Area'!O$1)*(Original!$O$2:$AW$2='by Product &amp; AIM Area'!$B2)*(Original!$O$3:$AW$58))
/
SUMPRODUCT((Original!$C$3:$C$58='by Product &amp; AIM Area'!O$1)*(Original!$J$2:$AW$2='by Product &amp; AIM Area'!$B2))</f>
        <v>1</v>
      </c>
      <c r="P2" s="11" t="e">
        <f>SUMPRODUCT((Original!$C$3:$C$58='by Product &amp; AIM Area'!P$1)*(Original!$O$2:$AW$2='by Product &amp; AIM Area'!$B2)*(Original!$O$3:$AW$58))
/
SUMPRODUCT((Original!$C$3:$C$58='by Product &amp; AIM Area'!P$1)*(Original!$J$2:$AW$2='by Product &amp; AIM Area'!$B2))</f>
        <v>#DIV/0!</v>
      </c>
      <c r="Q2" s="11">
        <f>SUMPRODUCT((Original!$C$3:$C$58='by Product &amp; AIM Area'!Q$1)*(Original!$O$2:$AW$2='by Product &amp; AIM Area'!$B2)*(Original!$O$3:$AW$58))
/
SUMPRODUCT((Original!$C$3:$C$58='by Product &amp; AIM Area'!Q$1)*(Original!$J$2:$AW$2='by Product &amp; AIM Area'!$B2))</f>
        <v>2</v>
      </c>
      <c r="R2" s="11">
        <f>SUMPRODUCT((Original!$C$3:$C$58='by Product &amp; AIM Area'!R$1)*(Original!$O$2:$AW$2='by Product &amp; AIM Area'!$B2)*(Original!$O$3:$AW$58))
/
SUMPRODUCT((Original!$C$3:$C$58='by Product &amp; AIM Area'!R$1)*(Original!$J$2:$AW$2='by Product &amp; AIM Area'!$B2))</f>
        <v>1</v>
      </c>
      <c r="S2" s="11">
        <f>SUMPRODUCT((Original!$C$3:$C$58='by Product &amp; AIM Area'!S$1)*(Original!$O$2:$AW$2='by Product &amp; AIM Area'!$B2)*(Original!$O$3:$AW$58))
/
SUMPRODUCT((Original!$C$3:$C$58='by Product &amp; AIM Area'!S$1)*(Original!$J$2:$AW$2='by Product &amp; AIM Area'!$B2))</f>
        <v>1.125</v>
      </c>
      <c r="T2" s="11">
        <f>SUMPRODUCT((Original!$C$3:$C$58='by Product &amp; AIM Area'!T$1)*(Original!$O$2:$AW$2='by Product &amp; AIM Area'!$B2)*(Original!$O$3:$AW$58))
/
SUMPRODUCT((Original!$C$3:$C$58='by Product &amp; AIM Area'!T$1)*(Original!$J$2:$AW$2='by Product &amp; AIM Area'!$B2))</f>
        <v>1</v>
      </c>
      <c r="U2" s="11" t="e">
        <f>SUMPRODUCT((Original!$C$3:$C$58='by Product &amp; AIM Area'!U$1)*(Original!$O$2:$AW$2='by Product &amp; AIM Area'!$B2)*(Original!$O$3:$AW$58))
/
SUMPRODUCT((Original!$C$3:$C$58='by Product &amp; AIM Area'!U$1)*(Original!$J$2:$AW$2='by Product &amp; AIM Area'!$B2))</f>
        <v>#DIV/0!</v>
      </c>
      <c r="V2" s="11">
        <f>SUMPRODUCT((Original!$C$3:$C$58='by Product &amp; AIM Area'!V$1)*(Original!$O$2:$AW$2='by Product &amp; AIM Area'!$B2)*(Original!$O$3:$AW$58))
/
SUMPRODUCT((Original!$C$3:$C$58='by Product &amp; AIM Area'!V$1)*(Original!$J$2:$AW$2='by Product &amp; AIM Area'!$B2))</f>
        <v>1</v>
      </c>
      <c r="W2" s="11">
        <f>SUMPRODUCT((Original!$C$3:$C$58='by Product &amp; AIM Area'!W$1)*(Original!$O$2:$AW$2='by Product &amp; AIM Area'!$B2)*(Original!$O$3:$AW$58))
/
SUMPRODUCT((Original!$C$3:$C$58='by Product &amp; AIM Area'!W$1)*(Original!$J$2:$AW$2='by Product &amp; AIM Area'!$B2))</f>
        <v>1</v>
      </c>
      <c r="X2" s="11" t="e">
        <f>SUMPRODUCT((Original!$C$3:$C$58='by Product &amp; AIM Area'!X$1)*(Original!$O$2:$AW$2='by Product &amp; AIM Area'!$B2)*(Original!$O$3:$AW$58))
/
SUMPRODUCT((Original!$C$3:$C$58='by Product &amp; AIM Area'!X$1)*(Original!$J$2:$AW$2='by Product &amp; AIM Area'!$B2))</f>
        <v>#DIV/0!</v>
      </c>
      <c r="Y2" s="11" t="e">
        <f>SUMPRODUCT((Original!$C$3:$C$58='by Product &amp; AIM Area'!Y$1)*(Original!$O$2:$AW$2='by Product &amp; AIM Area'!$B2)*(Original!$O$3:$AW$58))
/
SUMPRODUCT((Original!$C$3:$C$58='by Product &amp; AIM Area'!Y$1)*(Original!$J$2:$AW$2='by Product &amp; AIM Area'!$B2))</f>
        <v>#DIV/0!</v>
      </c>
      <c r="Z2" s="11">
        <f>SUMPRODUCT((Original!$C$3:$C$58='by Product &amp; AIM Area'!Z$1)*(Original!$O$2:$AW$2='by Product &amp; AIM Area'!$B2)*(Original!$O$3:$AW$58))
/
SUMPRODUCT((Original!$C$3:$C$58='by Product &amp; AIM Area'!Z$1)*(Original!$J$2:$AW$2='by Product &amp; AIM Area'!$B2))</f>
        <v>1</v>
      </c>
      <c r="AA2" s="11">
        <f>SUMPRODUCT((Original!$C$3:$C$58='by Product &amp; AIM Area'!AA$1)*(Original!$O$2:$AW$2='by Product &amp; AIM Area'!$B2)*(Original!$O$3:$AW$58))
/
SUMPRODUCT((Original!$C$3:$C$58='by Product &amp; AIM Area'!AA$1)*(Original!$J$2:$AW$2='by Product &amp; AIM Area'!$B2))</f>
        <v>1</v>
      </c>
      <c r="AB2" s="11">
        <f>SUMPRODUCT((Original!$C$3:$C$58='by Product &amp; AIM Area'!AB$1)*(Original!$O$2:$AW$2='by Product &amp; AIM Area'!$B2)*(Original!$O$3:$AW$58))
/
SUMPRODUCT((Original!$C$3:$C$58='by Product &amp; AIM Area'!AB$1)*(Original!$J$2:$AW$2='by Product &amp; AIM Area'!$B2))</f>
        <v>0.5</v>
      </c>
      <c r="AC2" s="11">
        <f>SUMPRODUCT((Original!$C$3:$C$58='by Product &amp; AIM Area'!AC$1)*(Original!$O$2:$AW$2='by Product &amp; AIM Area'!$B2)*(Original!$O$3:$AW$58))
/
SUMPRODUCT((Original!$C$3:$C$58='by Product &amp; AIM Area'!AC$1)*(Original!$J$2:$AW$2='by Product &amp; AIM Area'!$B2))</f>
        <v>1</v>
      </c>
      <c r="AD2" s="11" t="e">
        <f t="shared" ref="AD2:AD35" si="0">AVERAGE(C2:AC2)</f>
        <v>#DIV/0!</v>
      </c>
    </row>
    <row r="3" spans="1:30" ht="30">
      <c r="A3" s="11" t="s">
        <v>1</v>
      </c>
      <c r="B3" s="11" t="s">
        <v>23</v>
      </c>
      <c r="C3" s="11">
        <f>SUMPRODUCT((Original!$C$3:$C$58='by Product &amp; AIM Area'!C$1)*(Original!$O$2:$AW$2='by Product &amp; AIM Area'!$B3)*(Original!$O$3:$AW$58))
/
SUMPRODUCT((Original!$C$3:$C$58='by Product &amp; AIM Area'!C$1)*(Original!$J$2:$AW$2='by Product &amp; AIM Area'!$B3))</f>
        <v>2</v>
      </c>
      <c r="D3" s="11">
        <f>SUMPRODUCT((Original!$C$3:$C$58='by Product &amp; AIM Area'!D$1)*(Original!$O$2:$AW$2='by Product &amp; AIM Area'!$B3)*(Original!$O$3:$AW$58))
/
SUMPRODUCT((Original!$C$3:$C$58='by Product &amp; AIM Area'!D$1)*(Original!$J$2:$AW$2='by Product &amp; AIM Area'!$B3))</f>
        <v>1</v>
      </c>
      <c r="E3" s="11">
        <f>SUMPRODUCT((Original!$C$3:$C$58='by Product &amp; AIM Area'!E$1)*(Original!$O$2:$AW$2='by Product &amp; AIM Area'!$B3)*(Original!$O$3:$AW$58))
/
SUMPRODUCT((Original!$C$3:$C$58='by Product &amp; AIM Area'!E$1)*(Original!$J$2:$AW$2='by Product &amp; AIM Area'!$B3))</f>
        <v>1</v>
      </c>
      <c r="F3" s="11" t="e">
        <f>SUMPRODUCT((Original!$C$3:$C$58='by Product &amp; AIM Area'!F$1)*(Original!$O$2:$AW$2='by Product &amp; AIM Area'!$B3)*(Original!$O$3:$AW$58))
/
SUMPRODUCT((Original!$C$3:$C$58='by Product &amp; AIM Area'!F$1)*(Original!$J$2:$AW$2='by Product &amp; AIM Area'!$B3))</f>
        <v>#DIV/0!</v>
      </c>
      <c r="G3" s="11" t="e">
        <f>SUMPRODUCT((Original!$C$3:$C$58='by Product &amp; AIM Area'!G$1)*(Original!$O$2:$AW$2='by Product &amp; AIM Area'!$B3)*(Original!$O$3:$AW$58))
/
SUMPRODUCT((Original!$C$3:$C$58='by Product &amp; AIM Area'!G$1)*(Original!$J$2:$AW$2='by Product &amp; AIM Area'!$B3))</f>
        <v>#DIV/0!</v>
      </c>
      <c r="H3" s="11" t="e">
        <f>SUMPRODUCT((Original!$C$3:$C$58='by Product &amp; AIM Area'!H$1)*(Original!$O$2:$AW$2='by Product &amp; AIM Area'!$B3)*(Original!$O$3:$AW$58))
/
SUMPRODUCT((Original!$C$3:$C$58='by Product &amp; AIM Area'!H$1)*(Original!$J$2:$AW$2='by Product &amp; AIM Area'!$B3))</f>
        <v>#DIV/0!</v>
      </c>
      <c r="I3" s="11">
        <f>SUMPRODUCT((Original!$C$3:$C$58='by Product &amp; AIM Area'!I$1)*(Original!$O$2:$AW$2='by Product &amp; AIM Area'!$B3)*(Original!$O$3:$AW$58))
/
SUMPRODUCT((Original!$C$3:$C$58='by Product &amp; AIM Area'!I$1)*(Original!$J$2:$AW$2='by Product &amp; AIM Area'!$B3))</f>
        <v>1</v>
      </c>
      <c r="J3" s="11">
        <f>SUMPRODUCT((Original!$C$3:$C$58='by Product &amp; AIM Area'!J$1)*(Original!$O$2:$AW$2='by Product &amp; AIM Area'!$B3)*(Original!$O$3:$AW$58))
/
SUMPRODUCT((Original!$C$3:$C$58='by Product &amp; AIM Area'!J$1)*(Original!$J$2:$AW$2='by Product &amp; AIM Area'!$B3))</f>
        <v>1</v>
      </c>
      <c r="K3" s="11" t="e">
        <f>SUMPRODUCT((Original!$C$3:$C$58='by Product &amp; AIM Area'!K$1)*(Original!$O$2:$AW$2='by Product &amp; AIM Area'!$B3)*(Original!$O$3:$AW$58))
/
SUMPRODUCT((Original!$C$3:$C$58='by Product &amp; AIM Area'!K$1)*(Original!$J$2:$AW$2='by Product &amp; AIM Area'!$B3))</f>
        <v>#DIV/0!</v>
      </c>
      <c r="L3" s="11" t="e">
        <f>SUMPRODUCT((Original!$C$3:$C$58='by Product &amp; AIM Area'!L$1)*(Original!$O$2:$AW$2='by Product &amp; AIM Area'!$B3)*(Original!$O$3:$AW$58))
/
SUMPRODUCT((Original!$C$3:$C$58='by Product &amp; AIM Area'!L$1)*(Original!$J$2:$AW$2='by Product &amp; AIM Area'!$B3))</f>
        <v>#DIV/0!</v>
      </c>
      <c r="M3" s="11">
        <f>SUMPRODUCT((Original!$C$3:$C$58='by Product &amp; AIM Area'!M$1)*(Original!$O$2:$AW$2='by Product &amp; AIM Area'!$B3)*(Original!$O$3:$AW$58))
/
SUMPRODUCT((Original!$C$3:$C$58='by Product &amp; AIM Area'!M$1)*(Original!$J$2:$AW$2='by Product &amp; AIM Area'!$B3))</f>
        <v>1.5</v>
      </c>
      <c r="N3" s="11" t="e">
        <f>SUMPRODUCT((Original!$C$3:$C$58='by Product &amp; AIM Area'!N$1)*(Original!$O$2:$AW$2='by Product &amp; AIM Area'!$B3)*(Original!$O$3:$AW$58))
/
SUMPRODUCT((Original!$C$3:$C$58='by Product &amp; AIM Area'!N$1)*(Original!$J$2:$AW$2='by Product &amp; AIM Area'!$B3))</f>
        <v>#DIV/0!</v>
      </c>
      <c r="O3" s="11">
        <f>SUMPRODUCT((Original!$C$3:$C$58='by Product &amp; AIM Area'!O$1)*(Original!$O$2:$AW$2='by Product &amp; AIM Area'!$B3)*(Original!$O$3:$AW$58))
/
SUMPRODUCT((Original!$C$3:$C$58='by Product &amp; AIM Area'!O$1)*(Original!$J$2:$AW$2='by Product &amp; AIM Area'!$B3))</f>
        <v>1</v>
      </c>
      <c r="P3" s="11" t="e">
        <f>SUMPRODUCT((Original!$C$3:$C$58='by Product &amp; AIM Area'!P$1)*(Original!$O$2:$AW$2='by Product &amp; AIM Area'!$B3)*(Original!$O$3:$AW$58))
/
SUMPRODUCT((Original!$C$3:$C$58='by Product &amp; AIM Area'!P$1)*(Original!$J$2:$AW$2='by Product &amp; AIM Area'!$B3))</f>
        <v>#DIV/0!</v>
      </c>
      <c r="Q3" s="11">
        <f>SUMPRODUCT((Original!$C$3:$C$58='by Product &amp; AIM Area'!Q$1)*(Original!$O$2:$AW$2='by Product &amp; AIM Area'!$B3)*(Original!$O$3:$AW$58))
/
SUMPRODUCT((Original!$C$3:$C$58='by Product &amp; AIM Area'!Q$1)*(Original!$J$2:$AW$2='by Product &amp; AIM Area'!$B3))</f>
        <v>3</v>
      </c>
      <c r="R3" s="11">
        <f>SUMPRODUCT((Original!$C$3:$C$58='by Product &amp; AIM Area'!R$1)*(Original!$O$2:$AW$2='by Product &amp; AIM Area'!$B3)*(Original!$O$3:$AW$58))
/
SUMPRODUCT((Original!$C$3:$C$58='by Product &amp; AIM Area'!R$1)*(Original!$J$2:$AW$2='by Product &amp; AIM Area'!$B3))</f>
        <v>1.375</v>
      </c>
      <c r="S3" s="11">
        <f>SUMPRODUCT((Original!$C$3:$C$58='by Product &amp; AIM Area'!S$1)*(Original!$O$2:$AW$2='by Product &amp; AIM Area'!$B3)*(Original!$O$3:$AW$58))
/
SUMPRODUCT((Original!$C$3:$C$58='by Product &amp; AIM Area'!S$1)*(Original!$J$2:$AW$2='by Product &amp; AIM Area'!$B3))</f>
        <v>1.625</v>
      </c>
      <c r="T3" s="11">
        <f>SUMPRODUCT((Original!$C$3:$C$58='by Product &amp; AIM Area'!T$1)*(Original!$O$2:$AW$2='by Product &amp; AIM Area'!$B3)*(Original!$O$3:$AW$58))
/
SUMPRODUCT((Original!$C$3:$C$58='by Product &amp; AIM Area'!T$1)*(Original!$J$2:$AW$2='by Product &amp; AIM Area'!$B3))</f>
        <v>1</v>
      </c>
      <c r="U3" s="11" t="e">
        <f>SUMPRODUCT((Original!$C$3:$C$58='by Product &amp; AIM Area'!U$1)*(Original!$O$2:$AW$2='by Product &amp; AIM Area'!$B3)*(Original!$O$3:$AW$58))
/
SUMPRODUCT((Original!$C$3:$C$58='by Product &amp; AIM Area'!U$1)*(Original!$J$2:$AW$2='by Product &amp; AIM Area'!$B3))</f>
        <v>#DIV/0!</v>
      </c>
      <c r="V3" s="11">
        <f>SUMPRODUCT((Original!$C$3:$C$58='by Product &amp; AIM Area'!V$1)*(Original!$O$2:$AW$2='by Product &amp; AIM Area'!$B3)*(Original!$O$3:$AW$58))
/
SUMPRODUCT((Original!$C$3:$C$58='by Product &amp; AIM Area'!V$1)*(Original!$J$2:$AW$2='by Product &amp; AIM Area'!$B3))</f>
        <v>0</v>
      </c>
      <c r="W3" s="11">
        <f>SUMPRODUCT((Original!$C$3:$C$58='by Product &amp; AIM Area'!W$1)*(Original!$O$2:$AW$2='by Product &amp; AIM Area'!$B3)*(Original!$O$3:$AW$58))
/
SUMPRODUCT((Original!$C$3:$C$58='by Product &amp; AIM Area'!W$1)*(Original!$J$2:$AW$2='by Product &amp; AIM Area'!$B3))</f>
        <v>1</v>
      </c>
      <c r="X3" s="11" t="e">
        <f>SUMPRODUCT((Original!$C$3:$C$58='by Product &amp; AIM Area'!X$1)*(Original!$O$2:$AW$2='by Product &amp; AIM Area'!$B3)*(Original!$O$3:$AW$58))
/
SUMPRODUCT((Original!$C$3:$C$58='by Product &amp; AIM Area'!X$1)*(Original!$J$2:$AW$2='by Product &amp; AIM Area'!$B3))</f>
        <v>#DIV/0!</v>
      </c>
      <c r="Y3" s="11" t="e">
        <f>SUMPRODUCT((Original!$C$3:$C$58='by Product &amp; AIM Area'!Y$1)*(Original!$O$2:$AW$2='by Product &amp; AIM Area'!$B3)*(Original!$O$3:$AW$58))
/
SUMPRODUCT((Original!$C$3:$C$58='by Product &amp; AIM Area'!Y$1)*(Original!$J$2:$AW$2='by Product &amp; AIM Area'!$B3))</f>
        <v>#DIV/0!</v>
      </c>
      <c r="Z3" s="11">
        <f>SUMPRODUCT((Original!$C$3:$C$58='by Product &amp; AIM Area'!Z$1)*(Original!$O$2:$AW$2='by Product &amp; AIM Area'!$B3)*(Original!$O$3:$AW$58))
/
SUMPRODUCT((Original!$C$3:$C$58='by Product &amp; AIM Area'!Z$1)*(Original!$J$2:$AW$2='by Product &amp; AIM Area'!$B3))</f>
        <v>1</v>
      </c>
      <c r="AA3" s="11">
        <f>SUMPRODUCT((Original!$C$3:$C$58='by Product &amp; AIM Area'!AA$1)*(Original!$O$2:$AW$2='by Product &amp; AIM Area'!$B3)*(Original!$O$3:$AW$58))
/
SUMPRODUCT((Original!$C$3:$C$58='by Product &amp; AIM Area'!AA$1)*(Original!$J$2:$AW$2='by Product &amp; AIM Area'!$B3))</f>
        <v>3</v>
      </c>
      <c r="AB3" s="11">
        <f>SUMPRODUCT((Original!$C$3:$C$58='by Product &amp; AIM Area'!AB$1)*(Original!$O$2:$AW$2='by Product &amp; AIM Area'!$B3)*(Original!$O$3:$AW$58))
/
SUMPRODUCT((Original!$C$3:$C$58='by Product &amp; AIM Area'!AB$1)*(Original!$J$2:$AW$2='by Product &amp; AIM Area'!$B3))</f>
        <v>0.5</v>
      </c>
      <c r="AC3" s="11">
        <f>SUMPRODUCT((Original!$C$3:$C$58='by Product &amp; AIM Area'!AC$1)*(Original!$O$2:$AW$2='by Product &amp; AIM Area'!$B3)*(Original!$O$3:$AW$58))
/
SUMPRODUCT((Original!$C$3:$C$58='by Product &amp; AIM Area'!AC$1)*(Original!$J$2:$AW$2='by Product &amp; AIM Area'!$B3))</f>
        <v>0.8</v>
      </c>
      <c r="AD3" s="11" t="e">
        <f t="shared" si="0"/>
        <v>#DIV/0!</v>
      </c>
    </row>
    <row r="4" spans="1:30" ht="30">
      <c r="A4" s="11" t="s">
        <v>1</v>
      </c>
      <c r="B4" s="11" t="s">
        <v>24</v>
      </c>
      <c r="C4" s="11">
        <f>SUMPRODUCT((Original!$C$3:$C$58='by Product &amp; AIM Area'!C$1)*(Original!$O$2:$AW$2='by Product &amp; AIM Area'!$B4)*(Original!$O$3:$AW$58))
/
SUMPRODUCT((Original!$C$3:$C$58='by Product &amp; AIM Area'!C$1)*(Original!$J$2:$AW$2='by Product &amp; AIM Area'!$B4))</f>
        <v>1</v>
      </c>
      <c r="D4" s="11">
        <f>SUMPRODUCT((Original!$C$3:$C$58='by Product &amp; AIM Area'!D$1)*(Original!$O$2:$AW$2='by Product &amp; AIM Area'!$B4)*(Original!$O$3:$AW$58))
/
SUMPRODUCT((Original!$C$3:$C$58='by Product &amp; AIM Area'!D$1)*(Original!$J$2:$AW$2='by Product &amp; AIM Area'!$B4))</f>
        <v>2</v>
      </c>
      <c r="E4" s="11">
        <f>SUMPRODUCT((Original!$C$3:$C$58='by Product &amp; AIM Area'!E$1)*(Original!$O$2:$AW$2='by Product &amp; AIM Area'!$B4)*(Original!$O$3:$AW$58))
/
SUMPRODUCT((Original!$C$3:$C$58='by Product &amp; AIM Area'!E$1)*(Original!$J$2:$AW$2='by Product &amp; AIM Area'!$B4))</f>
        <v>2.5</v>
      </c>
      <c r="F4" s="11" t="e">
        <f>SUMPRODUCT((Original!$C$3:$C$58='by Product &amp; AIM Area'!F$1)*(Original!$O$2:$AW$2='by Product &amp; AIM Area'!$B4)*(Original!$O$3:$AW$58))
/
SUMPRODUCT((Original!$C$3:$C$58='by Product &amp; AIM Area'!F$1)*(Original!$J$2:$AW$2='by Product &amp; AIM Area'!$B4))</f>
        <v>#DIV/0!</v>
      </c>
      <c r="G4" s="11" t="e">
        <f>SUMPRODUCT((Original!$C$3:$C$58='by Product &amp; AIM Area'!G$1)*(Original!$O$2:$AW$2='by Product &amp; AIM Area'!$B4)*(Original!$O$3:$AW$58))
/
SUMPRODUCT((Original!$C$3:$C$58='by Product &amp; AIM Area'!G$1)*(Original!$J$2:$AW$2='by Product &amp; AIM Area'!$B4))</f>
        <v>#DIV/0!</v>
      </c>
      <c r="H4" s="11" t="e">
        <f>SUMPRODUCT((Original!$C$3:$C$58='by Product &amp; AIM Area'!H$1)*(Original!$O$2:$AW$2='by Product &amp; AIM Area'!$B4)*(Original!$O$3:$AW$58))
/
SUMPRODUCT((Original!$C$3:$C$58='by Product &amp; AIM Area'!H$1)*(Original!$J$2:$AW$2='by Product &amp; AIM Area'!$B4))</f>
        <v>#DIV/0!</v>
      </c>
      <c r="I4" s="11">
        <f>SUMPRODUCT((Original!$C$3:$C$58='by Product &amp; AIM Area'!I$1)*(Original!$O$2:$AW$2='by Product &amp; AIM Area'!$B4)*(Original!$O$3:$AW$58))
/
SUMPRODUCT((Original!$C$3:$C$58='by Product &amp; AIM Area'!I$1)*(Original!$J$2:$AW$2='by Product &amp; AIM Area'!$B4))</f>
        <v>1</v>
      </c>
      <c r="J4" s="11">
        <f>SUMPRODUCT((Original!$C$3:$C$58='by Product &amp; AIM Area'!J$1)*(Original!$O$2:$AW$2='by Product &amp; AIM Area'!$B4)*(Original!$O$3:$AW$58))
/
SUMPRODUCT((Original!$C$3:$C$58='by Product &amp; AIM Area'!J$1)*(Original!$J$2:$AW$2='by Product &amp; AIM Area'!$B4))</f>
        <v>2</v>
      </c>
      <c r="K4" s="11" t="e">
        <f>SUMPRODUCT((Original!$C$3:$C$58='by Product &amp; AIM Area'!K$1)*(Original!$O$2:$AW$2='by Product &amp; AIM Area'!$B4)*(Original!$O$3:$AW$58))
/
SUMPRODUCT((Original!$C$3:$C$58='by Product &amp; AIM Area'!K$1)*(Original!$J$2:$AW$2='by Product &amp; AIM Area'!$B4))</f>
        <v>#DIV/0!</v>
      </c>
      <c r="L4" s="11" t="e">
        <f>SUMPRODUCT((Original!$C$3:$C$58='by Product &amp; AIM Area'!L$1)*(Original!$O$2:$AW$2='by Product &amp; AIM Area'!$B4)*(Original!$O$3:$AW$58))
/
SUMPRODUCT((Original!$C$3:$C$58='by Product &amp; AIM Area'!L$1)*(Original!$J$2:$AW$2='by Product &amp; AIM Area'!$B4))</f>
        <v>#DIV/0!</v>
      </c>
      <c r="M4" s="11">
        <f>SUMPRODUCT((Original!$C$3:$C$58='by Product &amp; AIM Area'!M$1)*(Original!$O$2:$AW$2='by Product &amp; AIM Area'!$B4)*(Original!$O$3:$AW$58))
/
SUMPRODUCT((Original!$C$3:$C$58='by Product &amp; AIM Area'!M$1)*(Original!$J$2:$AW$2='by Product &amp; AIM Area'!$B4))</f>
        <v>2</v>
      </c>
      <c r="N4" s="11" t="e">
        <f>SUMPRODUCT((Original!$C$3:$C$58='by Product &amp; AIM Area'!N$1)*(Original!$O$2:$AW$2='by Product &amp; AIM Area'!$B4)*(Original!$O$3:$AW$58))
/
SUMPRODUCT((Original!$C$3:$C$58='by Product &amp; AIM Area'!N$1)*(Original!$J$2:$AW$2='by Product &amp; AIM Area'!$B4))</f>
        <v>#DIV/0!</v>
      </c>
      <c r="O4" s="11">
        <f>SUMPRODUCT((Original!$C$3:$C$58='by Product &amp; AIM Area'!O$1)*(Original!$O$2:$AW$2='by Product &amp; AIM Area'!$B4)*(Original!$O$3:$AW$58))
/
SUMPRODUCT((Original!$C$3:$C$58='by Product &amp; AIM Area'!O$1)*(Original!$J$2:$AW$2='by Product &amp; AIM Area'!$B4))</f>
        <v>1</v>
      </c>
      <c r="P4" s="11" t="e">
        <f>SUMPRODUCT((Original!$C$3:$C$58='by Product &amp; AIM Area'!P$1)*(Original!$O$2:$AW$2='by Product &amp; AIM Area'!$B4)*(Original!$O$3:$AW$58))
/
SUMPRODUCT((Original!$C$3:$C$58='by Product &amp; AIM Area'!P$1)*(Original!$J$2:$AW$2='by Product &amp; AIM Area'!$B4))</f>
        <v>#DIV/0!</v>
      </c>
      <c r="Q4" s="11">
        <f>SUMPRODUCT((Original!$C$3:$C$58='by Product &amp; AIM Area'!Q$1)*(Original!$O$2:$AW$2='by Product &amp; AIM Area'!$B4)*(Original!$O$3:$AW$58))
/
SUMPRODUCT((Original!$C$3:$C$58='by Product &amp; AIM Area'!Q$1)*(Original!$J$2:$AW$2='by Product &amp; AIM Area'!$B4))</f>
        <v>2</v>
      </c>
      <c r="R4" s="11">
        <f>SUMPRODUCT((Original!$C$3:$C$58='by Product &amp; AIM Area'!R$1)*(Original!$O$2:$AW$2='by Product &amp; AIM Area'!$B4)*(Original!$O$3:$AW$58))
/
SUMPRODUCT((Original!$C$3:$C$58='by Product &amp; AIM Area'!R$1)*(Original!$J$2:$AW$2='by Product &amp; AIM Area'!$B4))</f>
        <v>1.375</v>
      </c>
      <c r="S4" s="11">
        <f>SUMPRODUCT((Original!$C$3:$C$58='by Product &amp; AIM Area'!S$1)*(Original!$O$2:$AW$2='by Product &amp; AIM Area'!$B4)*(Original!$O$3:$AW$58))
/
SUMPRODUCT((Original!$C$3:$C$58='by Product &amp; AIM Area'!S$1)*(Original!$J$2:$AW$2='by Product &amp; AIM Area'!$B4))</f>
        <v>0.875</v>
      </c>
      <c r="T4" s="11">
        <f>SUMPRODUCT((Original!$C$3:$C$58='by Product &amp; AIM Area'!T$1)*(Original!$O$2:$AW$2='by Product &amp; AIM Area'!$B4)*(Original!$O$3:$AW$58))
/
SUMPRODUCT((Original!$C$3:$C$58='by Product &amp; AIM Area'!T$1)*(Original!$J$2:$AW$2='by Product &amp; AIM Area'!$B4))</f>
        <v>1</v>
      </c>
      <c r="U4" s="11" t="e">
        <f>SUMPRODUCT((Original!$C$3:$C$58='by Product &amp; AIM Area'!U$1)*(Original!$O$2:$AW$2='by Product &amp; AIM Area'!$B4)*(Original!$O$3:$AW$58))
/
SUMPRODUCT((Original!$C$3:$C$58='by Product &amp; AIM Area'!U$1)*(Original!$J$2:$AW$2='by Product &amp; AIM Area'!$B4))</f>
        <v>#DIV/0!</v>
      </c>
      <c r="V4" s="11">
        <f>SUMPRODUCT((Original!$C$3:$C$58='by Product &amp; AIM Area'!V$1)*(Original!$O$2:$AW$2='by Product &amp; AIM Area'!$B4)*(Original!$O$3:$AW$58))
/
SUMPRODUCT((Original!$C$3:$C$58='by Product &amp; AIM Area'!V$1)*(Original!$J$2:$AW$2='by Product &amp; AIM Area'!$B4))</f>
        <v>1</v>
      </c>
      <c r="W4" s="11">
        <f>SUMPRODUCT((Original!$C$3:$C$58='by Product &amp; AIM Area'!W$1)*(Original!$O$2:$AW$2='by Product &amp; AIM Area'!$B4)*(Original!$O$3:$AW$58))
/
SUMPRODUCT((Original!$C$3:$C$58='by Product &amp; AIM Area'!W$1)*(Original!$J$2:$AW$2='by Product &amp; AIM Area'!$B4))</f>
        <v>3</v>
      </c>
      <c r="X4" s="11" t="e">
        <f>SUMPRODUCT((Original!$C$3:$C$58='by Product &amp; AIM Area'!X$1)*(Original!$O$2:$AW$2='by Product &amp; AIM Area'!$B4)*(Original!$O$3:$AW$58))
/
SUMPRODUCT((Original!$C$3:$C$58='by Product &amp; AIM Area'!X$1)*(Original!$J$2:$AW$2='by Product &amp; AIM Area'!$B4))</f>
        <v>#DIV/0!</v>
      </c>
      <c r="Y4" s="11" t="e">
        <f>SUMPRODUCT((Original!$C$3:$C$58='by Product &amp; AIM Area'!Y$1)*(Original!$O$2:$AW$2='by Product &amp; AIM Area'!$B4)*(Original!$O$3:$AW$58))
/
SUMPRODUCT((Original!$C$3:$C$58='by Product &amp; AIM Area'!Y$1)*(Original!$J$2:$AW$2='by Product &amp; AIM Area'!$B4))</f>
        <v>#DIV/0!</v>
      </c>
      <c r="Z4" s="11">
        <f>SUMPRODUCT((Original!$C$3:$C$58='by Product &amp; AIM Area'!Z$1)*(Original!$O$2:$AW$2='by Product &amp; AIM Area'!$B4)*(Original!$O$3:$AW$58))
/
SUMPRODUCT((Original!$C$3:$C$58='by Product &amp; AIM Area'!Z$1)*(Original!$J$2:$AW$2='by Product &amp; AIM Area'!$B4))</f>
        <v>1</v>
      </c>
      <c r="AA4" s="11">
        <f>SUMPRODUCT((Original!$C$3:$C$58='by Product &amp; AIM Area'!AA$1)*(Original!$O$2:$AW$2='by Product &amp; AIM Area'!$B4)*(Original!$O$3:$AW$58))
/
SUMPRODUCT((Original!$C$3:$C$58='by Product &amp; AIM Area'!AA$1)*(Original!$J$2:$AW$2='by Product &amp; AIM Area'!$B4))</f>
        <v>2</v>
      </c>
      <c r="AB4" s="11">
        <f>SUMPRODUCT((Original!$C$3:$C$58='by Product &amp; AIM Area'!AB$1)*(Original!$O$2:$AW$2='by Product &amp; AIM Area'!$B4)*(Original!$O$3:$AW$58))
/
SUMPRODUCT((Original!$C$3:$C$58='by Product &amp; AIM Area'!AB$1)*(Original!$J$2:$AW$2='by Product &amp; AIM Area'!$B4))</f>
        <v>1</v>
      </c>
      <c r="AC4" s="11">
        <f>SUMPRODUCT((Original!$C$3:$C$58='by Product &amp; AIM Area'!AC$1)*(Original!$O$2:$AW$2='by Product &amp; AIM Area'!$B4)*(Original!$O$3:$AW$58))
/
SUMPRODUCT((Original!$C$3:$C$58='by Product &amp; AIM Area'!AC$1)*(Original!$J$2:$AW$2='by Product &amp; AIM Area'!$B4))</f>
        <v>1.4</v>
      </c>
      <c r="AD4" s="11" t="e">
        <f t="shared" si="0"/>
        <v>#DIV/0!</v>
      </c>
    </row>
    <row r="5" spans="1:30" ht="45">
      <c r="A5" s="11" t="s">
        <v>1</v>
      </c>
      <c r="B5" s="11" t="s">
        <v>25</v>
      </c>
      <c r="C5" s="11">
        <f>SUMPRODUCT((Original!$C$3:$C$58='by Product &amp; AIM Area'!C$1)*(Original!$O$2:$AW$2='by Product &amp; AIM Area'!$B5)*(Original!$O$3:$AW$58))
/
SUMPRODUCT((Original!$C$3:$C$58='by Product &amp; AIM Area'!C$1)*(Original!$J$2:$AW$2='by Product &amp; AIM Area'!$B5))</f>
        <v>0</v>
      </c>
      <c r="D5" s="11">
        <f>SUMPRODUCT((Original!$C$3:$C$58='by Product &amp; AIM Area'!D$1)*(Original!$O$2:$AW$2='by Product &amp; AIM Area'!$B5)*(Original!$O$3:$AW$58))
/
SUMPRODUCT((Original!$C$3:$C$58='by Product &amp; AIM Area'!D$1)*(Original!$J$2:$AW$2='by Product &amp; AIM Area'!$B5))</f>
        <v>0</v>
      </c>
      <c r="E5" s="11">
        <f>SUMPRODUCT((Original!$C$3:$C$58='by Product &amp; AIM Area'!E$1)*(Original!$O$2:$AW$2='by Product &amp; AIM Area'!$B5)*(Original!$O$3:$AW$58))
/
SUMPRODUCT((Original!$C$3:$C$58='by Product &amp; AIM Area'!E$1)*(Original!$J$2:$AW$2='by Product &amp; AIM Area'!$B5))</f>
        <v>1</v>
      </c>
      <c r="F5" s="11" t="e">
        <f>SUMPRODUCT((Original!$C$3:$C$58='by Product &amp; AIM Area'!F$1)*(Original!$O$2:$AW$2='by Product &amp; AIM Area'!$B5)*(Original!$O$3:$AW$58))
/
SUMPRODUCT((Original!$C$3:$C$58='by Product &amp; AIM Area'!F$1)*(Original!$J$2:$AW$2='by Product &amp; AIM Area'!$B5))</f>
        <v>#DIV/0!</v>
      </c>
      <c r="G5" s="11" t="e">
        <f>SUMPRODUCT((Original!$C$3:$C$58='by Product &amp; AIM Area'!G$1)*(Original!$O$2:$AW$2='by Product &amp; AIM Area'!$B5)*(Original!$O$3:$AW$58))
/
SUMPRODUCT((Original!$C$3:$C$58='by Product &amp; AIM Area'!G$1)*(Original!$J$2:$AW$2='by Product &amp; AIM Area'!$B5))</f>
        <v>#DIV/0!</v>
      </c>
      <c r="H5" s="11" t="e">
        <f>SUMPRODUCT((Original!$C$3:$C$58='by Product &amp; AIM Area'!H$1)*(Original!$O$2:$AW$2='by Product &amp; AIM Area'!$B5)*(Original!$O$3:$AW$58))
/
SUMPRODUCT((Original!$C$3:$C$58='by Product &amp; AIM Area'!H$1)*(Original!$J$2:$AW$2='by Product &amp; AIM Area'!$B5))</f>
        <v>#DIV/0!</v>
      </c>
      <c r="I5" s="11">
        <f>SUMPRODUCT((Original!$C$3:$C$58='by Product &amp; AIM Area'!I$1)*(Original!$O$2:$AW$2='by Product &amp; AIM Area'!$B5)*(Original!$O$3:$AW$58))
/
SUMPRODUCT((Original!$C$3:$C$58='by Product &amp; AIM Area'!I$1)*(Original!$J$2:$AW$2='by Product &amp; AIM Area'!$B5))</f>
        <v>0</v>
      </c>
      <c r="J5" s="11">
        <f>SUMPRODUCT((Original!$C$3:$C$58='by Product &amp; AIM Area'!J$1)*(Original!$O$2:$AW$2='by Product &amp; AIM Area'!$B5)*(Original!$O$3:$AW$58))
/
SUMPRODUCT((Original!$C$3:$C$58='by Product &amp; AIM Area'!J$1)*(Original!$J$2:$AW$2='by Product &amp; AIM Area'!$B5))</f>
        <v>0</v>
      </c>
      <c r="K5" s="11" t="e">
        <f>SUMPRODUCT((Original!$C$3:$C$58='by Product &amp; AIM Area'!K$1)*(Original!$O$2:$AW$2='by Product &amp; AIM Area'!$B5)*(Original!$O$3:$AW$58))
/
SUMPRODUCT((Original!$C$3:$C$58='by Product &amp; AIM Area'!K$1)*(Original!$J$2:$AW$2='by Product &amp; AIM Area'!$B5))</f>
        <v>#DIV/0!</v>
      </c>
      <c r="L5" s="11" t="e">
        <f>SUMPRODUCT((Original!$C$3:$C$58='by Product &amp; AIM Area'!L$1)*(Original!$O$2:$AW$2='by Product &amp; AIM Area'!$B5)*(Original!$O$3:$AW$58))
/
SUMPRODUCT((Original!$C$3:$C$58='by Product &amp; AIM Area'!L$1)*(Original!$J$2:$AW$2='by Product &amp; AIM Area'!$B5))</f>
        <v>#DIV/0!</v>
      </c>
      <c r="M5" s="11">
        <f>SUMPRODUCT((Original!$C$3:$C$58='by Product &amp; AIM Area'!M$1)*(Original!$O$2:$AW$2='by Product &amp; AIM Area'!$B5)*(Original!$O$3:$AW$58))
/
SUMPRODUCT((Original!$C$3:$C$58='by Product &amp; AIM Area'!M$1)*(Original!$J$2:$AW$2='by Product &amp; AIM Area'!$B5))</f>
        <v>2.5</v>
      </c>
      <c r="N5" s="11" t="e">
        <f>SUMPRODUCT((Original!$C$3:$C$58='by Product &amp; AIM Area'!N$1)*(Original!$O$2:$AW$2='by Product &amp; AIM Area'!$B5)*(Original!$O$3:$AW$58))
/
SUMPRODUCT((Original!$C$3:$C$58='by Product &amp; AIM Area'!N$1)*(Original!$J$2:$AW$2='by Product &amp; AIM Area'!$B5))</f>
        <v>#DIV/0!</v>
      </c>
      <c r="O5" s="11">
        <f>SUMPRODUCT((Original!$C$3:$C$58='by Product &amp; AIM Area'!O$1)*(Original!$O$2:$AW$2='by Product &amp; AIM Area'!$B5)*(Original!$O$3:$AW$58))
/
SUMPRODUCT((Original!$C$3:$C$58='by Product &amp; AIM Area'!O$1)*(Original!$J$2:$AW$2='by Product &amp; AIM Area'!$B5))</f>
        <v>0</v>
      </c>
      <c r="P5" s="11" t="e">
        <f>SUMPRODUCT((Original!$C$3:$C$58='by Product &amp; AIM Area'!P$1)*(Original!$O$2:$AW$2='by Product &amp; AIM Area'!$B5)*(Original!$O$3:$AW$58))
/
SUMPRODUCT((Original!$C$3:$C$58='by Product &amp; AIM Area'!P$1)*(Original!$J$2:$AW$2='by Product &amp; AIM Area'!$B5))</f>
        <v>#DIV/0!</v>
      </c>
      <c r="Q5" s="11">
        <f>SUMPRODUCT((Original!$C$3:$C$58='by Product &amp; AIM Area'!Q$1)*(Original!$O$2:$AW$2='by Product &amp; AIM Area'!$B5)*(Original!$O$3:$AW$58))
/
SUMPRODUCT((Original!$C$3:$C$58='by Product &amp; AIM Area'!Q$1)*(Original!$J$2:$AW$2='by Product &amp; AIM Area'!$B5))</f>
        <v>3</v>
      </c>
      <c r="R5" s="11">
        <f>SUMPRODUCT((Original!$C$3:$C$58='by Product &amp; AIM Area'!R$1)*(Original!$O$2:$AW$2='by Product &amp; AIM Area'!$B5)*(Original!$O$3:$AW$58))
/
SUMPRODUCT((Original!$C$3:$C$58='by Product &amp; AIM Area'!R$1)*(Original!$J$2:$AW$2='by Product &amp; AIM Area'!$B5))</f>
        <v>1</v>
      </c>
      <c r="S5" s="11">
        <f>SUMPRODUCT((Original!$C$3:$C$58='by Product &amp; AIM Area'!S$1)*(Original!$O$2:$AW$2='by Product &amp; AIM Area'!$B5)*(Original!$O$3:$AW$58))
/
SUMPRODUCT((Original!$C$3:$C$58='by Product &amp; AIM Area'!S$1)*(Original!$J$2:$AW$2='by Product &amp; AIM Area'!$B5))</f>
        <v>0.125</v>
      </c>
      <c r="T5" s="11">
        <f>SUMPRODUCT((Original!$C$3:$C$58='by Product &amp; AIM Area'!T$1)*(Original!$O$2:$AW$2='by Product &amp; AIM Area'!$B5)*(Original!$O$3:$AW$58))
/
SUMPRODUCT((Original!$C$3:$C$58='by Product &amp; AIM Area'!T$1)*(Original!$J$2:$AW$2='by Product &amp; AIM Area'!$B5))</f>
        <v>0</v>
      </c>
      <c r="U5" s="11" t="e">
        <f>SUMPRODUCT((Original!$C$3:$C$58='by Product &amp; AIM Area'!U$1)*(Original!$O$2:$AW$2='by Product &amp; AIM Area'!$B5)*(Original!$O$3:$AW$58))
/
SUMPRODUCT((Original!$C$3:$C$58='by Product &amp; AIM Area'!U$1)*(Original!$J$2:$AW$2='by Product &amp; AIM Area'!$B5))</f>
        <v>#DIV/0!</v>
      </c>
      <c r="V5" s="11">
        <f>SUMPRODUCT((Original!$C$3:$C$58='by Product &amp; AIM Area'!V$1)*(Original!$O$2:$AW$2='by Product &amp; AIM Area'!$B5)*(Original!$O$3:$AW$58))
/
SUMPRODUCT((Original!$C$3:$C$58='by Product &amp; AIM Area'!V$1)*(Original!$J$2:$AW$2='by Product &amp; AIM Area'!$B5))</f>
        <v>0</v>
      </c>
      <c r="W5" s="11">
        <f>SUMPRODUCT((Original!$C$3:$C$58='by Product &amp; AIM Area'!W$1)*(Original!$O$2:$AW$2='by Product &amp; AIM Area'!$B5)*(Original!$O$3:$AW$58))
/
SUMPRODUCT((Original!$C$3:$C$58='by Product &amp; AIM Area'!W$1)*(Original!$J$2:$AW$2='by Product &amp; AIM Area'!$B5))</f>
        <v>0</v>
      </c>
      <c r="X5" s="11" t="e">
        <f>SUMPRODUCT((Original!$C$3:$C$58='by Product &amp; AIM Area'!X$1)*(Original!$O$2:$AW$2='by Product &amp; AIM Area'!$B5)*(Original!$O$3:$AW$58))
/
SUMPRODUCT((Original!$C$3:$C$58='by Product &amp; AIM Area'!X$1)*(Original!$J$2:$AW$2='by Product &amp; AIM Area'!$B5))</f>
        <v>#DIV/0!</v>
      </c>
      <c r="Y5" s="11" t="e">
        <f>SUMPRODUCT((Original!$C$3:$C$58='by Product &amp; AIM Area'!Y$1)*(Original!$O$2:$AW$2='by Product &amp; AIM Area'!$B5)*(Original!$O$3:$AW$58))
/
SUMPRODUCT((Original!$C$3:$C$58='by Product &amp; AIM Area'!Y$1)*(Original!$J$2:$AW$2='by Product &amp; AIM Area'!$B5))</f>
        <v>#DIV/0!</v>
      </c>
      <c r="Z5" s="11">
        <f>SUMPRODUCT((Original!$C$3:$C$58='by Product &amp; AIM Area'!Z$1)*(Original!$O$2:$AW$2='by Product &amp; AIM Area'!$B5)*(Original!$O$3:$AW$58))
/
SUMPRODUCT((Original!$C$3:$C$58='by Product &amp; AIM Area'!Z$1)*(Original!$J$2:$AW$2='by Product &amp; AIM Area'!$B5))</f>
        <v>0</v>
      </c>
      <c r="AA5" s="11">
        <f>SUMPRODUCT((Original!$C$3:$C$58='by Product &amp; AIM Area'!AA$1)*(Original!$O$2:$AW$2='by Product &amp; AIM Area'!$B5)*(Original!$O$3:$AW$58))
/
SUMPRODUCT((Original!$C$3:$C$58='by Product &amp; AIM Area'!AA$1)*(Original!$J$2:$AW$2='by Product &amp; AIM Area'!$B5))</f>
        <v>3</v>
      </c>
      <c r="AB5" s="11">
        <f>SUMPRODUCT((Original!$C$3:$C$58='by Product &amp; AIM Area'!AB$1)*(Original!$O$2:$AW$2='by Product &amp; AIM Area'!$B5)*(Original!$O$3:$AW$58))
/
SUMPRODUCT((Original!$C$3:$C$58='by Product &amp; AIM Area'!AB$1)*(Original!$J$2:$AW$2='by Product &amp; AIM Area'!$B5))</f>
        <v>0.5</v>
      </c>
      <c r="AC5" s="11">
        <f>SUMPRODUCT((Original!$C$3:$C$58='by Product &amp; AIM Area'!AC$1)*(Original!$O$2:$AW$2='by Product &amp; AIM Area'!$B5)*(Original!$O$3:$AW$58))
/
SUMPRODUCT((Original!$C$3:$C$58='by Product &amp; AIM Area'!AC$1)*(Original!$J$2:$AW$2='by Product &amp; AIM Area'!$B5))</f>
        <v>0.2</v>
      </c>
      <c r="AD5" s="11" t="e">
        <f t="shared" si="0"/>
        <v>#DIV/0!</v>
      </c>
    </row>
    <row r="6" spans="1:30">
      <c r="A6" s="11" t="s">
        <v>338</v>
      </c>
      <c r="B6" s="11" t="s">
        <v>26</v>
      </c>
      <c r="C6" s="11">
        <f>SUMPRODUCT((Original!$C$3:$C$58='by Product &amp; AIM Area'!C$1)*(Original!$O$2:$AW$2='by Product &amp; AIM Area'!$B6)*(Original!$O$3:$AW$58))
/
SUMPRODUCT((Original!$C$3:$C$58='by Product &amp; AIM Area'!C$1)*(Original!$J$2:$AW$2='by Product &amp; AIM Area'!$B6))</f>
        <v>2</v>
      </c>
      <c r="D6" s="11">
        <f>SUMPRODUCT((Original!$C$3:$C$58='by Product &amp; AIM Area'!D$1)*(Original!$O$2:$AW$2='by Product &amp; AIM Area'!$B6)*(Original!$O$3:$AW$58))
/
SUMPRODUCT((Original!$C$3:$C$58='by Product &amp; AIM Area'!D$1)*(Original!$J$2:$AW$2='by Product &amp; AIM Area'!$B6))</f>
        <v>1</v>
      </c>
      <c r="E6" s="11">
        <f>SUMPRODUCT((Original!$C$3:$C$58='by Product &amp; AIM Area'!E$1)*(Original!$O$2:$AW$2='by Product &amp; AIM Area'!$B6)*(Original!$O$3:$AW$58))
/
SUMPRODUCT((Original!$C$3:$C$58='by Product &amp; AIM Area'!E$1)*(Original!$J$2:$AW$2='by Product &amp; AIM Area'!$B6))</f>
        <v>2.5</v>
      </c>
      <c r="F6" s="11" t="e">
        <f>SUMPRODUCT((Original!$C$3:$C$58='by Product &amp; AIM Area'!F$1)*(Original!$O$2:$AW$2='by Product &amp; AIM Area'!$B6)*(Original!$O$3:$AW$58))
/
SUMPRODUCT((Original!$C$3:$C$58='by Product &amp; AIM Area'!F$1)*(Original!$J$2:$AW$2='by Product &amp; AIM Area'!$B6))</f>
        <v>#DIV/0!</v>
      </c>
      <c r="G6" s="11" t="e">
        <f>SUMPRODUCT((Original!$C$3:$C$58='by Product &amp; AIM Area'!G$1)*(Original!$O$2:$AW$2='by Product &amp; AIM Area'!$B6)*(Original!$O$3:$AW$58))
/
SUMPRODUCT((Original!$C$3:$C$58='by Product &amp; AIM Area'!G$1)*(Original!$J$2:$AW$2='by Product &amp; AIM Area'!$B6))</f>
        <v>#DIV/0!</v>
      </c>
      <c r="H6" s="11" t="e">
        <f>SUMPRODUCT((Original!$C$3:$C$58='by Product &amp; AIM Area'!H$1)*(Original!$O$2:$AW$2='by Product &amp; AIM Area'!$B6)*(Original!$O$3:$AW$58))
/
SUMPRODUCT((Original!$C$3:$C$58='by Product &amp; AIM Area'!H$1)*(Original!$J$2:$AW$2='by Product &amp; AIM Area'!$B6))</f>
        <v>#DIV/0!</v>
      </c>
      <c r="I6" s="11">
        <f>SUMPRODUCT((Original!$C$3:$C$58='by Product &amp; AIM Area'!I$1)*(Original!$O$2:$AW$2='by Product &amp; AIM Area'!$B6)*(Original!$O$3:$AW$58))
/
SUMPRODUCT((Original!$C$3:$C$58='by Product &amp; AIM Area'!I$1)*(Original!$J$2:$AW$2='by Product &amp; AIM Area'!$B6))</f>
        <v>0.5</v>
      </c>
      <c r="J6" s="11">
        <f>SUMPRODUCT((Original!$C$3:$C$58='by Product &amp; AIM Area'!J$1)*(Original!$O$2:$AW$2='by Product &amp; AIM Area'!$B6)*(Original!$O$3:$AW$58))
/
SUMPRODUCT((Original!$C$3:$C$58='by Product &amp; AIM Area'!J$1)*(Original!$J$2:$AW$2='by Product &amp; AIM Area'!$B6))</f>
        <v>2</v>
      </c>
      <c r="K6" s="11" t="e">
        <f>SUMPRODUCT((Original!$C$3:$C$58='by Product &amp; AIM Area'!K$1)*(Original!$O$2:$AW$2='by Product &amp; AIM Area'!$B6)*(Original!$O$3:$AW$58))
/
SUMPRODUCT((Original!$C$3:$C$58='by Product &amp; AIM Area'!K$1)*(Original!$J$2:$AW$2='by Product &amp; AIM Area'!$B6))</f>
        <v>#DIV/0!</v>
      </c>
      <c r="L6" s="11" t="e">
        <f>SUMPRODUCT((Original!$C$3:$C$58='by Product &amp; AIM Area'!L$1)*(Original!$O$2:$AW$2='by Product &amp; AIM Area'!$B6)*(Original!$O$3:$AW$58))
/
SUMPRODUCT((Original!$C$3:$C$58='by Product &amp; AIM Area'!L$1)*(Original!$J$2:$AW$2='by Product &amp; AIM Area'!$B6))</f>
        <v>#DIV/0!</v>
      </c>
      <c r="M6" s="11">
        <f>SUMPRODUCT((Original!$C$3:$C$58='by Product &amp; AIM Area'!M$1)*(Original!$O$2:$AW$2='by Product &amp; AIM Area'!$B6)*(Original!$O$3:$AW$58))
/
SUMPRODUCT((Original!$C$3:$C$58='by Product &amp; AIM Area'!M$1)*(Original!$J$2:$AW$2='by Product &amp; AIM Area'!$B6))</f>
        <v>1</v>
      </c>
      <c r="N6" s="11" t="e">
        <f>SUMPRODUCT((Original!$C$3:$C$58='by Product &amp; AIM Area'!N$1)*(Original!$O$2:$AW$2='by Product &amp; AIM Area'!$B6)*(Original!$O$3:$AW$58))
/
SUMPRODUCT((Original!$C$3:$C$58='by Product &amp; AIM Area'!N$1)*(Original!$J$2:$AW$2='by Product &amp; AIM Area'!$B6))</f>
        <v>#DIV/0!</v>
      </c>
      <c r="O6" s="11">
        <f>SUMPRODUCT((Original!$C$3:$C$58='by Product &amp; AIM Area'!O$1)*(Original!$O$2:$AW$2='by Product &amp; AIM Area'!$B6)*(Original!$O$3:$AW$58))
/
SUMPRODUCT((Original!$C$3:$C$58='by Product &amp; AIM Area'!O$1)*(Original!$J$2:$AW$2='by Product &amp; AIM Area'!$B6))</f>
        <v>3</v>
      </c>
      <c r="P6" s="11" t="e">
        <f>SUMPRODUCT((Original!$C$3:$C$58='by Product &amp; AIM Area'!P$1)*(Original!$O$2:$AW$2='by Product &amp; AIM Area'!$B6)*(Original!$O$3:$AW$58))
/
SUMPRODUCT((Original!$C$3:$C$58='by Product &amp; AIM Area'!P$1)*(Original!$J$2:$AW$2='by Product &amp; AIM Area'!$B6))</f>
        <v>#DIV/0!</v>
      </c>
      <c r="Q6" s="11">
        <f>SUMPRODUCT((Original!$C$3:$C$58='by Product &amp; AIM Area'!Q$1)*(Original!$O$2:$AW$2='by Product &amp; AIM Area'!$B6)*(Original!$O$3:$AW$58))
/
SUMPRODUCT((Original!$C$3:$C$58='by Product &amp; AIM Area'!Q$1)*(Original!$J$2:$AW$2='by Product &amp; AIM Area'!$B6))</f>
        <v>1</v>
      </c>
      <c r="R6" s="11">
        <f>SUMPRODUCT((Original!$C$3:$C$58='by Product &amp; AIM Area'!R$1)*(Original!$O$2:$AW$2='by Product &amp; AIM Area'!$B6)*(Original!$O$3:$AW$58))
/
SUMPRODUCT((Original!$C$3:$C$58='by Product &amp; AIM Area'!R$1)*(Original!$J$2:$AW$2='by Product &amp; AIM Area'!$B6))</f>
        <v>2.5</v>
      </c>
      <c r="S6" s="11">
        <f>SUMPRODUCT((Original!$C$3:$C$58='by Product &amp; AIM Area'!S$1)*(Original!$O$2:$AW$2='by Product &amp; AIM Area'!$B6)*(Original!$O$3:$AW$58))
/
SUMPRODUCT((Original!$C$3:$C$58='by Product &amp; AIM Area'!S$1)*(Original!$J$2:$AW$2='by Product &amp; AIM Area'!$B6))</f>
        <v>1.625</v>
      </c>
      <c r="T6" s="11">
        <f>SUMPRODUCT((Original!$C$3:$C$58='by Product &amp; AIM Area'!T$1)*(Original!$O$2:$AW$2='by Product &amp; AIM Area'!$B6)*(Original!$O$3:$AW$58))
/
SUMPRODUCT((Original!$C$3:$C$58='by Product &amp; AIM Area'!T$1)*(Original!$J$2:$AW$2='by Product &amp; AIM Area'!$B6))</f>
        <v>1.125</v>
      </c>
      <c r="U6" s="11" t="e">
        <f>SUMPRODUCT((Original!$C$3:$C$58='by Product &amp; AIM Area'!U$1)*(Original!$O$2:$AW$2='by Product &amp; AIM Area'!$B6)*(Original!$O$3:$AW$58))
/
SUMPRODUCT((Original!$C$3:$C$58='by Product &amp; AIM Area'!U$1)*(Original!$J$2:$AW$2='by Product &amp; AIM Area'!$B6))</f>
        <v>#DIV/0!</v>
      </c>
      <c r="V6" s="11">
        <f>SUMPRODUCT((Original!$C$3:$C$58='by Product &amp; AIM Area'!V$1)*(Original!$O$2:$AW$2='by Product &amp; AIM Area'!$B6)*(Original!$O$3:$AW$58))
/
SUMPRODUCT((Original!$C$3:$C$58='by Product &amp; AIM Area'!V$1)*(Original!$J$2:$AW$2='by Product &amp; AIM Area'!$B6))</f>
        <v>1</v>
      </c>
      <c r="W6" s="11">
        <f>SUMPRODUCT((Original!$C$3:$C$58='by Product &amp; AIM Area'!W$1)*(Original!$O$2:$AW$2='by Product &amp; AIM Area'!$B6)*(Original!$O$3:$AW$58))
/
SUMPRODUCT((Original!$C$3:$C$58='by Product &amp; AIM Area'!W$1)*(Original!$J$2:$AW$2='by Product &amp; AIM Area'!$B6))</f>
        <v>2</v>
      </c>
      <c r="X6" s="11" t="e">
        <f>SUMPRODUCT((Original!$C$3:$C$58='by Product &amp; AIM Area'!X$1)*(Original!$O$2:$AW$2='by Product &amp; AIM Area'!$B6)*(Original!$O$3:$AW$58))
/
SUMPRODUCT((Original!$C$3:$C$58='by Product &amp; AIM Area'!X$1)*(Original!$J$2:$AW$2='by Product &amp; AIM Area'!$B6))</f>
        <v>#DIV/0!</v>
      </c>
      <c r="Y6" s="11" t="e">
        <f>SUMPRODUCT((Original!$C$3:$C$58='by Product &amp; AIM Area'!Y$1)*(Original!$O$2:$AW$2='by Product &amp; AIM Area'!$B6)*(Original!$O$3:$AW$58))
/
SUMPRODUCT((Original!$C$3:$C$58='by Product &amp; AIM Area'!Y$1)*(Original!$J$2:$AW$2='by Product &amp; AIM Area'!$B6))</f>
        <v>#DIV/0!</v>
      </c>
      <c r="Z6" s="11">
        <f>SUMPRODUCT((Original!$C$3:$C$58='by Product &amp; AIM Area'!Z$1)*(Original!$O$2:$AW$2='by Product &amp; AIM Area'!$B6)*(Original!$O$3:$AW$58))
/
SUMPRODUCT((Original!$C$3:$C$58='by Product &amp; AIM Area'!Z$1)*(Original!$J$2:$AW$2='by Product &amp; AIM Area'!$B6))</f>
        <v>1</v>
      </c>
      <c r="AA6" s="11">
        <f>SUMPRODUCT((Original!$C$3:$C$58='by Product &amp; AIM Area'!AA$1)*(Original!$O$2:$AW$2='by Product &amp; AIM Area'!$B6)*(Original!$O$3:$AW$58))
/
SUMPRODUCT((Original!$C$3:$C$58='by Product &amp; AIM Area'!AA$1)*(Original!$J$2:$AW$2='by Product &amp; AIM Area'!$B6))</f>
        <v>2</v>
      </c>
      <c r="AB6" s="11">
        <f>SUMPRODUCT((Original!$C$3:$C$58='by Product &amp; AIM Area'!AB$1)*(Original!$O$2:$AW$2='by Product &amp; AIM Area'!$B6)*(Original!$O$3:$AW$58))
/
SUMPRODUCT((Original!$C$3:$C$58='by Product &amp; AIM Area'!AB$1)*(Original!$J$2:$AW$2='by Product &amp; AIM Area'!$B6))</f>
        <v>0.5</v>
      </c>
      <c r="AC6" s="11">
        <f>SUMPRODUCT((Original!$C$3:$C$58='by Product &amp; AIM Area'!AC$1)*(Original!$O$2:$AW$2='by Product &amp; AIM Area'!$B6)*(Original!$O$3:$AW$58))
/
SUMPRODUCT((Original!$C$3:$C$58='by Product &amp; AIM Area'!AC$1)*(Original!$J$2:$AW$2='by Product &amp; AIM Area'!$B6))</f>
        <v>0.2</v>
      </c>
      <c r="AD6" s="11" t="e">
        <f t="shared" si="0"/>
        <v>#DIV/0!</v>
      </c>
    </row>
    <row r="7" spans="1:30">
      <c r="A7" s="11" t="s">
        <v>338</v>
      </c>
      <c r="B7" s="11" t="s">
        <v>27</v>
      </c>
      <c r="C7" s="11">
        <f>SUMPRODUCT((Original!$C$3:$C$58='by Product &amp; AIM Area'!C$1)*(Original!$O$2:$AW$2='by Product &amp; AIM Area'!$B7)*(Original!$O$3:$AW$58))
/
SUMPRODUCT((Original!$C$3:$C$58='by Product &amp; AIM Area'!C$1)*(Original!$J$2:$AW$2='by Product &amp; AIM Area'!$B7))</f>
        <v>3</v>
      </c>
      <c r="D7" s="11">
        <f>SUMPRODUCT((Original!$C$3:$C$58='by Product &amp; AIM Area'!D$1)*(Original!$O$2:$AW$2='by Product &amp; AIM Area'!$B7)*(Original!$O$3:$AW$58))
/
SUMPRODUCT((Original!$C$3:$C$58='by Product &amp; AIM Area'!D$1)*(Original!$J$2:$AW$2='by Product &amp; AIM Area'!$B7))</f>
        <v>1</v>
      </c>
      <c r="E7" s="11">
        <f>SUMPRODUCT((Original!$C$3:$C$58='by Product &amp; AIM Area'!E$1)*(Original!$O$2:$AW$2='by Product &amp; AIM Area'!$B7)*(Original!$O$3:$AW$58))
/
SUMPRODUCT((Original!$C$3:$C$58='by Product &amp; AIM Area'!E$1)*(Original!$J$2:$AW$2='by Product &amp; AIM Area'!$B7))</f>
        <v>1.5</v>
      </c>
      <c r="F7" s="11" t="e">
        <f>SUMPRODUCT((Original!$C$3:$C$58='by Product &amp; AIM Area'!F$1)*(Original!$O$2:$AW$2='by Product &amp; AIM Area'!$B7)*(Original!$O$3:$AW$58))
/
SUMPRODUCT((Original!$C$3:$C$58='by Product &amp; AIM Area'!F$1)*(Original!$J$2:$AW$2='by Product &amp; AIM Area'!$B7))</f>
        <v>#DIV/0!</v>
      </c>
      <c r="G7" s="11" t="e">
        <f>SUMPRODUCT((Original!$C$3:$C$58='by Product &amp; AIM Area'!G$1)*(Original!$O$2:$AW$2='by Product &amp; AIM Area'!$B7)*(Original!$O$3:$AW$58))
/
SUMPRODUCT((Original!$C$3:$C$58='by Product &amp; AIM Area'!G$1)*(Original!$J$2:$AW$2='by Product &amp; AIM Area'!$B7))</f>
        <v>#DIV/0!</v>
      </c>
      <c r="H7" s="11" t="e">
        <f>SUMPRODUCT((Original!$C$3:$C$58='by Product &amp; AIM Area'!H$1)*(Original!$O$2:$AW$2='by Product &amp; AIM Area'!$B7)*(Original!$O$3:$AW$58))
/
SUMPRODUCT((Original!$C$3:$C$58='by Product &amp; AIM Area'!H$1)*(Original!$J$2:$AW$2='by Product &amp; AIM Area'!$B7))</f>
        <v>#DIV/0!</v>
      </c>
      <c r="I7" s="11">
        <f>SUMPRODUCT((Original!$C$3:$C$58='by Product &amp; AIM Area'!I$1)*(Original!$O$2:$AW$2='by Product &amp; AIM Area'!$B7)*(Original!$O$3:$AW$58))
/
SUMPRODUCT((Original!$C$3:$C$58='by Product &amp; AIM Area'!I$1)*(Original!$J$2:$AW$2='by Product &amp; AIM Area'!$B7))</f>
        <v>1</v>
      </c>
      <c r="J7" s="11">
        <f>SUMPRODUCT((Original!$C$3:$C$58='by Product &amp; AIM Area'!J$1)*(Original!$O$2:$AW$2='by Product &amp; AIM Area'!$B7)*(Original!$O$3:$AW$58))
/
SUMPRODUCT((Original!$C$3:$C$58='by Product &amp; AIM Area'!J$1)*(Original!$J$2:$AW$2='by Product &amp; AIM Area'!$B7))</f>
        <v>2</v>
      </c>
      <c r="K7" s="11" t="e">
        <f>SUMPRODUCT((Original!$C$3:$C$58='by Product &amp; AIM Area'!K$1)*(Original!$O$2:$AW$2='by Product &amp; AIM Area'!$B7)*(Original!$O$3:$AW$58))
/
SUMPRODUCT((Original!$C$3:$C$58='by Product &amp; AIM Area'!K$1)*(Original!$J$2:$AW$2='by Product &amp; AIM Area'!$B7))</f>
        <v>#DIV/0!</v>
      </c>
      <c r="L7" s="11" t="e">
        <f>SUMPRODUCT((Original!$C$3:$C$58='by Product &amp; AIM Area'!L$1)*(Original!$O$2:$AW$2='by Product &amp; AIM Area'!$B7)*(Original!$O$3:$AW$58))
/
SUMPRODUCT((Original!$C$3:$C$58='by Product &amp; AIM Area'!L$1)*(Original!$J$2:$AW$2='by Product &amp; AIM Area'!$B7))</f>
        <v>#DIV/0!</v>
      </c>
      <c r="M7" s="11">
        <f>SUMPRODUCT((Original!$C$3:$C$58='by Product &amp; AIM Area'!M$1)*(Original!$O$2:$AW$2='by Product &amp; AIM Area'!$B7)*(Original!$O$3:$AW$58))
/
SUMPRODUCT((Original!$C$3:$C$58='by Product &amp; AIM Area'!M$1)*(Original!$J$2:$AW$2='by Product &amp; AIM Area'!$B7))</f>
        <v>2</v>
      </c>
      <c r="N7" s="11" t="e">
        <f>SUMPRODUCT((Original!$C$3:$C$58='by Product &amp; AIM Area'!N$1)*(Original!$O$2:$AW$2='by Product &amp; AIM Area'!$B7)*(Original!$O$3:$AW$58))
/
SUMPRODUCT((Original!$C$3:$C$58='by Product &amp; AIM Area'!N$1)*(Original!$J$2:$AW$2='by Product &amp; AIM Area'!$B7))</f>
        <v>#DIV/0!</v>
      </c>
      <c r="O7" s="11">
        <f>SUMPRODUCT((Original!$C$3:$C$58='by Product &amp; AIM Area'!O$1)*(Original!$O$2:$AW$2='by Product &amp; AIM Area'!$B7)*(Original!$O$3:$AW$58))
/
SUMPRODUCT((Original!$C$3:$C$58='by Product &amp; AIM Area'!O$1)*(Original!$J$2:$AW$2='by Product &amp; AIM Area'!$B7))</f>
        <v>3</v>
      </c>
      <c r="P7" s="11" t="e">
        <f>SUMPRODUCT((Original!$C$3:$C$58='by Product &amp; AIM Area'!P$1)*(Original!$O$2:$AW$2='by Product &amp; AIM Area'!$B7)*(Original!$O$3:$AW$58))
/
SUMPRODUCT((Original!$C$3:$C$58='by Product &amp; AIM Area'!P$1)*(Original!$J$2:$AW$2='by Product &amp; AIM Area'!$B7))</f>
        <v>#DIV/0!</v>
      </c>
      <c r="Q7" s="11">
        <f>SUMPRODUCT((Original!$C$3:$C$58='by Product &amp; AIM Area'!Q$1)*(Original!$O$2:$AW$2='by Product &amp; AIM Area'!$B7)*(Original!$O$3:$AW$58))
/
SUMPRODUCT((Original!$C$3:$C$58='by Product &amp; AIM Area'!Q$1)*(Original!$J$2:$AW$2='by Product &amp; AIM Area'!$B7))</f>
        <v>1</v>
      </c>
      <c r="R7" s="11">
        <f>SUMPRODUCT((Original!$C$3:$C$58='by Product &amp; AIM Area'!R$1)*(Original!$O$2:$AW$2='by Product &amp; AIM Area'!$B7)*(Original!$O$3:$AW$58))
/
SUMPRODUCT((Original!$C$3:$C$58='by Product &amp; AIM Area'!R$1)*(Original!$J$2:$AW$2='by Product &amp; AIM Area'!$B7))</f>
        <v>2.125</v>
      </c>
      <c r="S7" s="11">
        <f>SUMPRODUCT((Original!$C$3:$C$58='by Product &amp; AIM Area'!S$1)*(Original!$O$2:$AW$2='by Product &amp; AIM Area'!$B7)*(Original!$O$3:$AW$58))
/
SUMPRODUCT((Original!$C$3:$C$58='by Product &amp; AIM Area'!S$1)*(Original!$J$2:$AW$2='by Product &amp; AIM Area'!$B7))</f>
        <v>1.875</v>
      </c>
      <c r="T7" s="11">
        <f>SUMPRODUCT((Original!$C$3:$C$58='by Product &amp; AIM Area'!T$1)*(Original!$O$2:$AW$2='by Product &amp; AIM Area'!$B7)*(Original!$O$3:$AW$58))
/
SUMPRODUCT((Original!$C$3:$C$58='by Product &amp; AIM Area'!T$1)*(Original!$J$2:$AW$2='by Product &amp; AIM Area'!$B7))</f>
        <v>1.25</v>
      </c>
      <c r="U7" s="11" t="e">
        <f>SUMPRODUCT((Original!$C$3:$C$58='by Product &amp; AIM Area'!U$1)*(Original!$O$2:$AW$2='by Product &amp; AIM Area'!$B7)*(Original!$O$3:$AW$58))
/
SUMPRODUCT((Original!$C$3:$C$58='by Product &amp; AIM Area'!U$1)*(Original!$J$2:$AW$2='by Product &amp; AIM Area'!$B7))</f>
        <v>#DIV/0!</v>
      </c>
      <c r="V7" s="11">
        <f>SUMPRODUCT((Original!$C$3:$C$58='by Product &amp; AIM Area'!V$1)*(Original!$O$2:$AW$2='by Product &amp; AIM Area'!$B7)*(Original!$O$3:$AW$58))
/
SUMPRODUCT((Original!$C$3:$C$58='by Product &amp; AIM Area'!V$1)*(Original!$J$2:$AW$2='by Product &amp; AIM Area'!$B7))</f>
        <v>2</v>
      </c>
      <c r="W7" s="11">
        <f>SUMPRODUCT((Original!$C$3:$C$58='by Product &amp; AIM Area'!W$1)*(Original!$O$2:$AW$2='by Product &amp; AIM Area'!$B7)*(Original!$O$3:$AW$58))
/
SUMPRODUCT((Original!$C$3:$C$58='by Product &amp; AIM Area'!W$1)*(Original!$J$2:$AW$2='by Product &amp; AIM Area'!$B7))</f>
        <v>2</v>
      </c>
      <c r="X7" s="11" t="e">
        <f>SUMPRODUCT((Original!$C$3:$C$58='by Product &amp; AIM Area'!X$1)*(Original!$O$2:$AW$2='by Product &amp; AIM Area'!$B7)*(Original!$O$3:$AW$58))
/
SUMPRODUCT((Original!$C$3:$C$58='by Product &amp; AIM Area'!X$1)*(Original!$J$2:$AW$2='by Product &amp; AIM Area'!$B7))</f>
        <v>#DIV/0!</v>
      </c>
      <c r="Y7" s="11" t="e">
        <f>SUMPRODUCT((Original!$C$3:$C$58='by Product &amp; AIM Area'!Y$1)*(Original!$O$2:$AW$2='by Product &amp; AIM Area'!$B7)*(Original!$O$3:$AW$58))
/
SUMPRODUCT((Original!$C$3:$C$58='by Product &amp; AIM Area'!Y$1)*(Original!$J$2:$AW$2='by Product &amp; AIM Area'!$B7))</f>
        <v>#DIV/0!</v>
      </c>
      <c r="Z7" s="11">
        <f>SUMPRODUCT((Original!$C$3:$C$58='by Product &amp; AIM Area'!Z$1)*(Original!$O$2:$AW$2='by Product &amp; AIM Area'!$B7)*(Original!$O$3:$AW$58))
/
SUMPRODUCT((Original!$C$3:$C$58='by Product &amp; AIM Area'!Z$1)*(Original!$J$2:$AW$2='by Product &amp; AIM Area'!$B7))</f>
        <v>1</v>
      </c>
      <c r="AA7" s="11">
        <f>SUMPRODUCT((Original!$C$3:$C$58='by Product &amp; AIM Area'!AA$1)*(Original!$O$2:$AW$2='by Product &amp; AIM Area'!$B7)*(Original!$O$3:$AW$58))
/
SUMPRODUCT((Original!$C$3:$C$58='by Product &amp; AIM Area'!AA$1)*(Original!$J$2:$AW$2='by Product &amp; AIM Area'!$B7))</f>
        <v>2</v>
      </c>
      <c r="AB7" s="11">
        <f>SUMPRODUCT((Original!$C$3:$C$58='by Product &amp; AIM Area'!AB$1)*(Original!$O$2:$AW$2='by Product &amp; AIM Area'!$B7)*(Original!$O$3:$AW$58))
/
SUMPRODUCT((Original!$C$3:$C$58='by Product &amp; AIM Area'!AB$1)*(Original!$J$2:$AW$2='by Product &amp; AIM Area'!$B7))</f>
        <v>0.5</v>
      </c>
      <c r="AC7" s="11">
        <f>SUMPRODUCT((Original!$C$3:$C$58='by Product &amp; AIM Area'!AC$1)*(Original!$O$2:$AW$2='by Product &amp; AIM Area'!$B7)*(Original!$O$3:$AW$58))
/
SUMPRODUCT((Original!$C$3:$C$58='by Product &amp; AIM Area'!AC$1)*(Original!$J$2:$AW$2='by Product &amp; AIM Area'!$B7))</f>
        <v>0.2</v>
      </c>
      <c r="AD7" s="11" t="e">
        <f t="shared" si="0"/>
        <v>#DIV/0!</v>
      </c>
    </row>
    <row r="8" spans="1:30" ht="30">
      <c r="A8" s="11" t="s">
        <v>338</v>
      </c>
      <c r="B8" s="11" t="s">
        <v>28</v>
      </c>
      <c r="C8" s="11">
        <f t="array" ref="C8">SUMPRODUCT((Original!$C$3:$C$58='by Product &amp; AIM Area'!C$1)*(Original!$O$2:$AW$2='by Product &amp; AIM Area'!$B8)*(Original!$O$3:$AW$58))
/
SUMPRODUCT((Original!$C$3:$C$58='by Product &amp; AIM Area'!C$1)*(Original!$J$2:$AW$2='by Product &amp; AIM Area'!$B8))</f>
        <v>3</v>
      </c>
      <c r="D8" s="11">
        <f>SUMPRODUCT((Original!$C$3:$C$58='by Product &amp; AIM Area'!D$1)*(Original!$O$2:$AW$2='by Product &amp; AIM Area'!$B8)*(Original!$O$3:$AW$58))
/
SUMPRODUCT((Original!$C$3:$C$58='by Product &amp; AIM Area'!D$1)*(Original!$J$2:$AW$2='by Product &amp; AIM Area'!$B8))</f>
        <v>1</v>
      </c>
      <c r="E8" s="11">
        <f>SUMPRODUCT((Original!$C$3:$C$58='by Product &amp; AIM Area'!E$1)*(Original!$O$2:$AW$2='by Product &amp; AIM Area'!$B8)*(Original!$O$3:$AW$58))
/
SUMPRODUCT((Original!$C$3:$C$58='by Product &amp; AIM Area'!E$1)*(Original!$J$2:$AW$2='by Product &amp; AIM Area'!$B8))</f>
        <v>2</v>
      </c>
      <c r="F8" s="11" t="e">
        <f>SUMPRODUCT((Original!$C$3:$C$58='by Product &amp; AIM Area'!F$1)*(Original!$O$2:$AW$2='by Product &amp; AIM Area'!$B8)*(Original!$O$3:$AW$58))
/
SUMPRODUCT((Original!$C$3:$C$58='by Product &amp; AIM Area'!F$1)*(Original!$J$2:$AW$2='by Product &amp; AIM Area'!$B8))</f>
        <v>#DIV/0!</v>
      </c>
      <c r="G8" s="11" t="e">
        <f>SUMPRODUCT((Original!$C$3:$C$58='by Product &amp; AIM Area'!G$1)*(Original!$O$2:$AW$2='by Product &amp; AIM Area'!$B8)*(Original!$O$3:$AW$58))
/
SUMPRODUCT((Original!$C$3:$C$58='by Product &amp; AIM Area'!G$1)*(Original!$J$2:$AW$2='by Product &amp; AIM Area'!$B8))</f>
        <v>#DIV/0!</v>
      </c>
      <c r="H8" s="11" t="e">
        <f>SUMPRODUCT((Original!$C$3:$C$58='by Product &amp; AIM Area'!H$1)*(Original!$O$2:$AW$2='by Product &amp; AIM Area'!$B8)*(Original!$O$3:$AW$58))
/
SUMPRODUCT((Original!$C$3:$C$58='by Product &amp; AIM Area'!H$1)*(Original!$J$2:$AW$2='by Product &amp; AIM Area'!$B8))</f>
        <v>#DIV/0!</v>
      </c>
      <c r="I8" s="11">
        <f>SUMPRODUCT((Original!$C$3:$C$58='by Product &amp; AIM Area'!I$1)*(Original!$O$2:$AW$2='by Product &amp; AIM Area'!$B8)*(Original!$O$3:$AW$58))
/
SUMPRODUCT((Original!$C$3:$C$58='by Product &amp; AIM Area'!I$1)*(Original!$J$2:$AW$2='by Product &amp; AIM Area'!$B8))</f>
        <v>2</v>
      </c>
      <c r="J8" s="11">
        <f>SUMPRODUCT((Original!$C$3:$C$58='by Product &amp; AIM Area'!J$1)*(Original!$O$2:$AW$2='by Product &amp; AIM Area'!$B8)*(Original!$O$3:$AW$58))
/
SUMPRODUCT((Original!$C$3:$C$58='by Product &amp; AIM Area'!J$1)*(Original!$J$2:$AW$2='by Product &amp; AIM Area'!$B8))</f>
        <v>2</v>
      </c>
      <c r="K8" s="11" t="e">
        <f>SUMPRODUCT((Original!$C$3:$C$58='by Product &amp; AIM Area'!K$1)*(Original!$O$2:$AW$2='by Product &amp; AIM Area'!$B8)*(Original!$O$3:$AW$58))
/
SUMPRODUCT((Original!$C$3:$C$58='by Product &amp; AIM Area'!K$1)*(Original!$J$2:$AW$2='by Product &amp; AIM Area'!$B8))</f>
        <v>#DIV/0!</v>
      </c>
      <c r="L8" s="11" t="e">
        <f>SUMPRODUCT((Original!$C$3:$C$58='by Product &amp; AIM Area'!L$1)*(Original!$O$2:$AW$2='by Product &amp; AIM Area'!$B8)*(Original!$O$3:$AW$58))
/
SUMPRODUCT((Original!$C$3:$C$58='by Product &amp; AIM Area'!L$1)*(Original!$J$2:$AW$2='by Product &amp; AIM Area'!$B8))</f>
        <v>#DIV/0!</v>
      </c>
      <c r="M8" s="11">
        <f>SUMPRODUCT((Original!$C$3:$C$58='by Product &amp; AIM Area'!M$1)*(Original!$O$2:$AW$2='by Product &amp; AIM Area'!$B8)*(Original!$O$3:$AW$58))
/
SUMPRODUCT((Original!$C$3:$C$58='by Product &amp; AIM Area'!M$1)*(Original!$J$2:$AW$2='by Product &amp; AIM Area'!$B8))</f>
        <v>2</v>
      </c>
      <c r="N8" s="11" t="e">
        <f>SUMPRODUCT((Original!$C$3:$C$58='by Product &amp; AIM Area'!N$1)*(Original!$O$2:$AW$2='by Product &amp; AIM Area'!$B8)*(Original!$O$3:$AW$58))
/
SUMPRODUCT((Original!$C$3:$C$58='by Product &amp; AIM Area'!N$1)*(Original!$J$2:$AW$2='by Product &amp; AIM Area'!$B8))</f>
        <v>#DIV/0!</v>
      </c>
      <c r="O8" s="11">
        <f>SUMPRODUCT((Original!$C$3:$C$58='by Product &amp; AIM Area'!O$1)*(Original!$O$2:$AW$2='by Product &amp; AIM Area'!$B8)*(Original!$O$3:$AW$58))
/
SUMPRODUCT((Original!$C$3:$C$58='by Product &amp; AIM Area'!O$1)*(Original!$J$2:$AW$2='by Product &amp; AIM Area'!$B8))</f>
        <v>2</v>
      </c>
      <c r="P8" s="11" t="e">
        <f>SUMPRODUCT((Original!$C$3:$C$58='by Product &amp; AIM Area'!P$1)*(Original!$O$2:$AW$2='by Product &amp; AIM Area'!$B8)*(Original!$O$3:$AW$58))
/
SUMPRODUCT((Original!$C$3:$C$58='by Product &amp; AIM Area'!P$1)*(Original!$J$2:$AW$2='by Product &amp; AIM Area'!$B8))</f>
        <v>#DIV/0!</v>
      </c>
      <c r="Q8" s="11">
        <f>SUMPRODUCT((Original!$C$3:$C$58='by Product &amp; AIM Area'!Q$1)*(Original!$O$2:$AW$2='by Product &amp; AIM Area'!$B8)*(Original!$O$3:$AW$58))
/
SUMPRODUCT((Original!$C$3:$C$58='by Product &amp; AIM Area'!Q$1)*(Original!$J$2:$AW$2='by Product &amp; AIM Area'!$B8))</f>
        <v>3</v>
      </c>
      <c r="R8" s="11">
        <f>SUMPRODUCT((Original!$C$3:$C$58='by Product &amp; AIM Area'!R$1)*(Original!$O$2:$AW$2='by Product &amp; AIM Area'!$B8)*(Original!$O$3:$AW$58))
/
SUMPRODUCT((Original!$C$3:$C$58='by Product &amp; AIM Area'!R$1)*(Original!$J$2:$AW$2='by Product &amp; AIM Area'!$B8))</f>
        <v>2.875</v>
      </c>
      <c r="S8" s="11">
        <f>SUMPRODUCT((Original!$C$3:$C$58='by Product &amp; AIM Area'!S$1)*(Original!$O$2:$AW$2='by Product &amp; AIM Area'!$B8)*(Original!$O$3:$AW$58))
/
SUMPRODUCT((Original!$C$3:$C$58='by Product &amp; AIM Area'!S$1)*(Original!$J$2:$AW$2='by Product &amp; AIM Area'!$B8))</f>
        <v>2</v>
      </c>
      <c r="T8" s="11">
        <f>SUMPRODUCT((Original!$C$3:$C$58='by Product &amp; AIM Area'!T$1)*(Original!$O$2:$AW$2='by Product &amp; AIM Area'!$B8)*(Original!$O$3:$AW$58))
/
SUMPRODUCT((Original!$C$3:$C$58='by Product &amp; AIM Area'!T$1)*(Original!$J$2:$AW$2='by Product &amp; AIM Area'!$B8))</f>
        <v>2</v>
      </c>
      <c r="U8" s="11" t="e">
        <f>SUMPRODUCT((Original!$C$3:$C$58='by Product &amp; AIM Area'!U$1)*(Original!$O$2:$AW$2='by Product &amp; AIM Area'!$B8)*(Original!$O$3:$AW$58))
/
SUMPRODUCT((Original!$C$3:$C$58='by Product &amp; AIM Area'!U$1)*(Original!$J$2:$AW$2='by Product &amp; AIM Area'!$B8))</f>
        <v>#DIV/0!</v>
      </c>
      <c r="V8" s="11">
        <f>SUMPRODUCT((Original!$C$3:$C$58='by Product &amp; AIM Area'!V$1)*(Original!$O$2:$AW$2='by Product &amp; AIM Area'!$B8)*(Original!$O$3:$AW$58))
/
SUMPRODUCT((Original!$C$3:$C$58='by Product &amp; AIM Area'!V$1)*(Original!$J$2:$AW$2='by Product &amp; AIM Area'!$B8))</f>
        <v>2</v>
      </c>
      <c r="W8" s="11">
        <f>SUMPRODUCT((Original!$C$3:$C$58='by Product &amp; AIM Area'!W$1)*(Original!$O$2:$AW$2='by Product &amp; AIM Area'!$B8)*(Original!$O$3:$AW$58))
/
SUMPRODUCT((Original!$C$3:$C$58='by Product &amp; AIM Area'!W$1)*(Original!$J$2:$AW$2='by Product &amp; AIM Area'!$B8))</f>
        <v>2</v>
      </c>
      <c r="X8" s="11" t="e">
        <f>SUMPRODUCT((Original!$C$3:$C$58='by Product &amp; AIM Area'!X$1)*(Original!$O$2:$AW$2='by Product &amp; AIM Area'!$B8)*(Original!$O$3:$AW$58))
/
SUMPRODUCT((Original!$C$3:$C$58='by Product &amp; AIM Area'!X$1)*(Original!$J$2:$AW$2='by Product &amp; AIM Area'!$B8))</f>
        <v>#DIV/0!</v>
      </c>
      <c r="Y8" s="11" t="e">
        <f>SUMPRODUCT((Original!$C$3:$C$58='by Product &amp; AIM Area'!Y$1)*(Original!$O$2:$AW$2='by Product &amp; AIM Area'!$B8)*(Original!$O$3:$AW$58))
/
SUMPRODUCT((Original!$C$3:$C$58='by Product &amp; AIM Area'!Y$1)*(Original!$J$2:$AW$2='by Product &amp; AIM Area'!$B8))</f>
        <v>#DIV/0!</v>
      </c>
      <c r="Z8" s="11">
        <f>SUMPRODUCT((Original!$C$3:$C$58='by Product &amp; AIM Area'!Z$1)*(Original!$O$2:$AW$2='by Product &amp; AIM Area'!$B8)*(Original!$O$3:$AW$58))
/
SUMPRODUCT((Original!$C$3:$C$58='by Product &amp; AIM Area'!Z$1)*(Original!$J$2:$AW$2='by Product &amp; AIM Area'!$B8))</f>
        <v>1</v>
      </c>
      <c r="AA8" s="11">
        <f>SUMPRODUCT((Original!$C$3:$C$58='by Product &amp; AIM Area'!AA$1)*(Original!$O$2:$AW$2='by Product &amp; AIM Area'!$B8)*(Original!$O$3:$AW$58))
/
SUMPRODUCT((Original!$C$3:$C$58='by Product &amp; AIM Area'!AA$1)*(Original!$J$2:$AW$2='by Product &amp; AIM Area'!$B8))</f>
        <v>2</v>
      </c>
      <c r="AB8" s="11">
        <f>SUMPRODUCT((Original!$C$3:$C$58='by Product &amp; AIM Area'!AB$1)*(Original!$O$2:$AW$2='by Product &amp; AIM Area'!$B8)*(Original!$O$3:$AW$58))
/
SUMPRODUCT((Original!$C$3:$C$58='by Product &amp; AIM Area'!AB$1)*(Original!$J$2:$AW$2='by Product &amp; AIM Area'!$B8))</f>
        <v>0.5</v>
      </c>
      <c r="AC8" s="11">
        <f>SUMPRODUCT((Original!$C$3:$C$58='by Product &amp; AIM Area'!AC$1)*(Original!$O$2:$AW$2='by Product &amp; AIM Area'!$B8)*(Original!$O$3:$AW$58))
/
SUMPRODUCT((Original!$C$3:$C$58='by Product &amp; AIM Area'!AC$1)*(Original!$J$2:$AW$2='by Product &amp; AIM Area'!$B8))</f>
        <v>1.4</v>
      </c>
      <c r="AD8" s="11" t="e">
        <f t="shared" si="0"/>
        <v>#DIV/0!</v>
      </c>
    </row>
    <row r="9" spans="1:30">
      <c r="A9" s="11" t="s">
        <v>338</v>
      </c>
      <c r="B9" s="11" t="s">
        <v>29</v>
      </c>
      <c r="C9" s="11">
        <f>SUMPRODUCT((Original!$C$3:$C$58='by Product &amp; AIM Area'!C$1)*(Original!$O$2:$AW$2='by Product &amp; AIM Area'!$B9)*(Original!$O$3:$AW$58))
/
SUMPRODUCT((Original!$C$3:$C$58='by Product &amp; AIM Area'!C$1)*(Original!$J$2:$AW$2='by Product &amp; AIM Area'!$B9))</f>
        <v>3</v>
      </c>
      <c r="D9" s="11">
        <f>SUMPRODUCT((Original!$C$3:$C$58='by Product &amp; AIM Area'!D$1)*(Original!$O$2:$AW$2='by Product &amp; AIM Area'!$B9)*(Original!$O$3:$AW$58))
/
SUMPRODUCT((Original!$C$3:$C$58='by Product &amp; AIM Area'!D$1)*(Original!$J$2:$AW$2='by Product &amp; AIM Area'!$B9))</f>
        <v>1</v>
      </c>
      <c r="E9" s="11">
        <f>SUMPRODUCT((Original!$C$3:$C$58='by Product &amp; AIM Area'!E$1)*(Original!$O$2:$AW$2='by Product &amp; AIM Area'!$B9)*(Original!$O$3:$AW$58))
/
SUMPRODUCT((Original!$C$3:$C$58='by Product &amp; AIM Area'!E$1)*(Original!$J$2:$AW$2='by Product &amp; AIM Area'!$B9))</f>
        <v>2</v>
      </c>
      <c r="F9" s="11" t="e">
        <f>SUMPRODUCT((Original!$C$3:$C$58='by Product &amp; AIM Area'!F$1)*(Original!$O$2:$AW$2='by Product &amp; AIM Area'!$B9)*(Original!$O$3:$AW$58))
/
SUMPRODUCT((Original!$C$3:$C$58='by Product &amp; AIM Area'!F$1)*(Original!$J$2:$AW$2='by Product &amp; AIM Area'!$B9))</f>
        <v>#DIV/0!</v>
      </c>
      <c r="G9" s="11" t="e">
        <f>SUMPRODUCT((Original!$C$3:$C$58='by Product &amp; AIM Area'!G$1)*(Original!$O$2:$AW$2='by Product &amp; AIM Area'!$B9)*(Original!$O$3:$AW$58))
/
SUMPRODUCT((Original!$C$3:$C$58='by Product &amp; AIM Area'!G$1)*(Original!$J$2:$AW$2='by Product &amp; AIM Area'!$B9))</f>
        <v>#DIV/0!</v>
      </c>
      <c r="H9" s="11" t="e">
        <f>SUMPRODUCT((Original!$C$3:$C$58='by Product &amp; AIM Area'!H$1)*(Original!$O$2:$AW$2='by Product &amp; AIM Area'!$B9)*(Original!$O$3:$AW$58))
/
SUMPRODUCT((Original!$C$3:$C$58='by Product &amp; AIM Area'!H$1)*(Original!$J$2:$AW$2='by Product &amp; AIM Area'!$B9))</f>
        <v>#DIV/0!</v>
      </c>
      <c r="I9" s="11">
        <f>SUMPRODUCT((Original!$C$3:$C$58='by Product &amp; AIM Area'!I$1)*(Original!$O$2:$AW$2='by Product &amp; AIM Area'!$B9)*(Original!$O$3:$AW$58))
/
SUMPRODUCT((Original!$C$3:$C$58='by Product &amp; AIM Area'!I$1)*(Original!$J$2:$AW$2='by Product &amp; AIM Area'!$B9))</f>
        <v>0</v>
      </c>
      <c r="J9" s="11">
        <f>SUMPRODUCT((Original!$C$3:$C$58='by Product &amp; AIM Area'!J$1)*(Original!$O$2:$AW$2='by Product &amp; AIM Area'!$B9)*(Original!$O$3:$AW$58))
/
SUMPRODUCT((Original!$C$3:$C$58='by Product &amp; AIM Area'!J$1)*(Original!$J$2:$AW$2='by Product &amp; AIM Area'!$B9))</f>
        <v>1</v>
      </c>
      <c r="K9" s="11" t="e">
        <f>SUMPRODUCT((Original!$C$3:$C$58='by Product &amp; AIM Area'!K$1)*(Original!$O$2:$AW$2='by Product &amp; AIM Area'!$B9)*(Original!$O$3:$AW$58))
/
SUMPRODUCT((Original!$C$3:$C$58='by Product &amp; AIM Area'!K$1)*(Original!$J$2:$AW$2='by Product &amp; AIM Area'!$B9))</f>
        <v>#DIV/0!</v>
      </c>
      <c r="L9" s="11" t="e">
        <f>SUMPRODUCT((Original!$C$3:$C$58='by Product &amp; AIM Area'!L$1)*(Original!$O$2:$AW$2='by Product &amp; AIM Area'!$B9)*(Original!$O$3:$AW$58))
/
SUMPRODUCT((Original!$C$3:$C$58='by Product &amp; AIM Area'!L$1)*(Original!$J$2:$AW$2='by Product &amp; AIM Area'!$B9))</f>
        <v>#DIV/0!</v>
      </c>
      <c r="M9" s="11">
        <f>SUMPRODUCT((Original!$C$3:$C$58='by Product &amp; AIM Area'!M$1)*(Original!$O$2:$AW$2='by Product &amp; AIM Area'!$B9)*(Original!$O$3:$AW$58))
/
SUMPRODUCT((Original!$C$3:$C$58='by Product &amp; AIM Area'!M$1)*(Original!$J$2:$AW$2='by Product &amp; AIM Area'!$B9))</f>
        <v>1</v>
      </c>
      <c r="N9" s="11" t="e">
        <f>SUMPRODUCT((Original!$C$3:$C$58='by Product &amp; AIM Area'!N$1)*(Original!$O$2:$AW$2='by Product &amp; AIM Area'!$B9)*(Original!$O$3:$AW$58))
/
SUMPRODUCT((Original!$C$3:$C$58='by Product &amp; AIM Area'!N$1)*(Original!$J$2:$AW$2='by Product &amp; AIM Area'!$B9))</f>
        <v>#DIV/0!</v>
      </c>
      <c r="O9" s="11">
        <f>SUMPRODUCT((Original!$C$3:$C$58='by Product &amp; AIM Area'!O$1)*(Original!$O$2:$AW$2='by Product &amp; AIM Area'!$B9)*(Original!$O$3:$AW$58))
/
SUMPRODUCT((Original!$C$3:$C$58='by Product &amp; AIM Area'!O$1)*(Original!$J$2:$AW$2='by Product &amp; AIM Area'!$B9))</f>
        <v>2</v>
      </c>
      <c r="P9" s="11" t="e">
        <f>SUMPRODUCT((Original!$C$3:$C$58='by Product &amp; AIM Area'!P$1)*(Original!$O$2:$AW$2='by Product &amp; AIM Area'!$B9)*(Original!$O$3:$AW$58))
/
SUMPRODUCT((Original!$C$3:$C$58='by Product &amp; AIM Area'!P$1)*(Original!$J$2:$AW$2='by Product &amp; AIM Area'!$B9))</f>
        <v>#DIV/0!</v>
      </c>
      <c r="Q9" s="11">
        <f>SUMPRODUCT((Original!$C$3:$C$58='by Product &amp; AIM Area'!Q$1)*(Original!$O$2:$AW$2='by Product &amp; AIM Area'!$B9)*(Original!$O$3:$AW$58))
/
SUMPRODUCT((Original!$C$3:$C$58='by Product &amp; AIM Area'!Q$1)*(Original!$J$2:$AW$2='by Product &amp; AIM Area'!$B9))</f>
        <v>3</v>
      </c>
      <c r="R9" s="11">
        <f>SUMPRODUCT((Original!$C$3:$C$58='by Product &amp; AIM Area'!R$1)*(Original!$O$2:$AW$2='by Product &amp; AIM Area'!$B9)*(Original!$O$3:$AW$58))
/
SUMPRODUCT((Original!$C$3:$C$58='by Product &amp; AIM Area'!R$1)*(Original!$J$2:$AW$2='by Product &amp; AIM Area'!$B9))</f>
        <v>2.25</v>
      </c>
      <c r="S9" s="11">
        <f>SUMPRODUCT((Original!$C$3:$C$58='by Product &amp; AIM Area'!S$1)*(Original!$O$2:$AW$2='by Product &amp; AIM Area'!$B9)*(Original!$O$3:$AW$58))
/
SUMPRODUCT((Original!$C$3:$C$58='by Product &amp; AIM Area'!S$1)*(Original!$J$2:$AW$2='by Product &amp; AIM Area'!$B9))</f>
        <v>2</v>
      </c>
      <c r="T9" s="11">
        <f>SUMPRODUCT((Original!$C$3:$C$58='by Product &amp; AIM Area'!T$1)*(Original!$O$2:$AW$2='by Product &amp; AIM Area'!$B9)*(Original!$O$3:$AW$58))
/
SUMPRODUCT((Original!$C$3:$C$58='by Product &amp; AIM Area'!T$1)*(Original!$J$2:$AW$2='by Product &amp; AIM Area'!$B9))</f>
        <v>0.375</v>
      </c>
      <c r="U9" s="11" t="e">
        <f>SUMPRODUCT((Original!$C$3:$C$58='by Product &amp; AIM Area'!U$1)*(Original!$O$2:$AW$2='by Product &amp; AIM Area'!$B9)*(Original!$O$3:$AW$58))
/
SUMPRODUCT((Original!$C$3:$C$58='by Product &amp; AIM Area'!U$1)*(Original!$J$2:$AW$2='by Product &amp; AIM Area'!$B9))</f>
        <v>#DIV/0!</v>
      </c>
      <c r="V9" s="11">
        <f>SUMPRODUCT((Original!$C$3:$C$58='by Product &amp; AIM Area'!V$1)*(Original!$O$2:$AW$2='by Product &amp; AIM Area'!$B9)*(Original!$O$3:$AW$58))
/
SUMPRODUCT((Original!$C$3:$C$58='by Product &amp; AIM Area'!V$1)*(Original!$J$2:$AW$2='by Product &amp; AIM Area'!$B9))</f>
        <v>1</v>
      </c>
      <c r="W9" s="11">
        <f>SUMPRODUCT((Original!$C$3:$C$58='by Product &amp; AIM Area'!W$1)*(Original!$O$2:$AW$2='by Product &amp; AIM Area'!$B9)*(Original!$O$3:$AW$58))
/
SUMPRODUCT((Original!$C$3:$C$58='by Product &amp; AIM Area'!W$1)*(Original!$J$2:$AW$2='by Product &amp; AIM Area'!$B9))</f>
        <v>3</v>
      </c>
      <c r="X9" s="11" t="e">
        <f>SUMPRODUCT((Original!$C$3:$C$58='by Product &amp; AIM Area'!X$1)*(Original!$O$2:$AW$2='by Product &amp; AIM Area'!$B9)*(Original!$O$3:$AW$58))
/
SUMPRODUCT((Original!$C$3:$C$58='by Product &amp; AIM Area'!X$1)*(Original!$J$2:$AW$2='by Product &amp; AIM Area'!$B9))</f>
        <v>#DIV/0!</v>
      </c>
      <c r="Y9" s="11" t="e">
        <f>SUMPRODUCT((Original!$C$3:$C$58='by Product &amp; AIM Area'!Y$1)*(Original!$O$2:$AW$2='by Product &amp; AIM Area'!$B9)*(Original!$O$3:$AW$58))
/
SUMPRODUCT((Original!$C$3:$C$58='by Product &amp; AIM Area'!Y$1)*(Original!$J$2:$AW$2='by Product &amp; AIM Area'!$B9))</f>
        <v>#DIV/0!</v>
      </c>
      <c r="Z9" s="11">
        <f>SUMPRODUCT((Original!$C$3:$C$58='by Product &amp; AIM Area'!Z$1)*(Original!$O$2:$AW$2='by Product &amp; AIM Area'!$B9)*(Original!$O$3:$AW$58))
/
SUMPRODUCT((Original!$C$3:$C$58='by Product &amp; AIM Area'!Z$1)*(Original!$J$2:$AW$2='by Product &amp; AIM Area'!$B9))</f>
        <v>1</v>
      </c>
      <c r="AA9" s="11">
        <f>SUMPRODUCT((Original!$C$3:$C$58='by Product &amp; AIM Area'!AA$1)*(Original!$O$2:$AW$2='by Product &amp; AIM Area'!$B9)*(Original!$O$3:$AW$58))
/
SUMPRODUCT((Original!$C$3:$C$58='by Product &amp; AIM Area'!AA$1)*(Original!$J$2:$AW$2='by Product &amp; AIM Area'!$B9))</f>
        <v>0</v>
      </c>
      <c r="AB9" s="11">
        <f>SUMPRODUCT((Original!$C$3:$C$58='by Product &amp; AIM Area'!AB$1)*(Original!$O$2:$AW$2='by Product &amp; AIM Area'!$B9)*(Original!$O$3:$AW$58))
/
SUMPRODUCT((Original!$C$3:$C$58='by Product &amp; AIM Area'!AB$1)*(Original!$J$2:$AW$2='by Product &amp; AIM Area'!$B9))</f>
        <v>0.5</v>
      </c>
      <c r="AC9" s="11">
        <f>SUMPRODUCT((Original!$C$3:$C$58='by Product &amp; AIM Area'!AC$1)*(Original!$O$2:$AW$2='by Product &amp; AIM Area'!$B9)*(Original!$O$3:$AW$58))
/
SUMPRODUCT((Original!$C$3:$C$58='by Product &amp; AIM Area'!AC$1)*(Original!$J$2:$AW$2='by Product &amp; AIM Area'!$B9))</f>
        <v>0.8</v>
      </c>
      <c r="AD9" s="11" t="e">
        <f t="shared" si="0"/>
        <v>#DIV/0!</v>
      </c>
    </row>
    <row r="10" spans="1:30">
      <c r="A10" s="11" t="s">
        <v>338</v>
      </c>
      <c r="B10" s="11" t="s">
        <v>30</v>
      </c>
      <c r="C10" s="11">
        <f>SUMPRODUCT((Original!$C$3:$C$58='by Product &amp; AIM Area'!C$1)*(Original!$O$2:$AW$2='by Product &amp; AIM Area'!$B10)*(Original!$O$3:$AW$58))
/
SUMPRODUCT((Original!$C$3:$C$58='by Product &amp; AIM Area'!C$1)*(Original!$J$2:$AW$2='by Product &amp; AIM Area'!$B10))</f>
        <v>3</v>
      </c>
      <c r="D10" s="11">
        <f>SUMPRODUCT((Original!$C$3:$C$58='by Product &amp; AIM Area'!D$1)*(Original!$O$2:$AW$2='by Product &amp; AIM Area'!$B10)*(Original!$O$3:$AW$58))
/
SUMPRODUCT((Original!$C$3:$C$58='by Product &amp; AIM Area'!D$1)*(Original!$J$2:$AW$2='by Product &amp; AIM Area'!$B10))</f>
        <v>1</v>
      </c>
      <c r="E10" s="11">
        <f>SUMPRODUCT((Original!$C$3:$C$58='by Product &amp; AIM Area'!E$1)*(Original!$O$2:$AW$2='by Product &amp; AIM Area'!$B10)*(Original!$O$3:$AW$58))
/
SUMPRODUCT((Original!$C$3:$C$58='by Product &amp; AIM Area'!E$1)*(Original!$J$2:$AW$2='by Product &amp; AIM Area'!$B10))</f>
        <v>2</v>
      </c>
      <c r="F10" s="11" t="e">
        <f>SUMPRODUCT((Original!$C$3:$C$58='by Product &amp; AIM Area'!F$1)*(Original!$O$2:$AW$2='by Product &amp; AIM Area'!$B10)*(Original!$O$3:$AW$58))
/
SUMPRODUCT((Original!$C$3:$C$58='by Product &amp; AIM Area'!F$1)*(Original!$J$2:$AW$2='by Product &amp; AIM Area'!$B10))</f>
        <v>#DIV/0!</v>
      </c>
      <c r="G10" s="11" t="e">
        <f>SUMPRODUCT((Original!$C$3:$C$58='by Product &amp; AIM Area'!G$1)*(Original!$O$2:$AW$2='by Product &amp; AIM Area'!$B10)*(Original!$O$3:$AW$58))
/
SUMPRODUCT((Original!$C$3:$C$58='by Product &amp; AIM Area'!G$1)*(Original!$J$2:$AW$2='by Product &amp; AIM Area'!$B10))</f>
        <v>#DIV/0!</v>
      </c>
      <c r="H10" s="11" t="e">
        <f>SUMPRODUCT((Original!$C$3:$C$58='by Product &amp; AIM Area'!H$1)*(Original!$O$2:$AW$2='by Product &amp; AIM Area'!$B10)*(Original!$O$3:$AW$58))
/
SUMPRODUCT((Original!$C$3:$C$58='by Product &amp; AIM Area'!H$1)*(Original!$J$2:$AW$2='by Product &amp; AIM Area'!$B10))</f>
        <v>#DIV/0!</v>
      </c>
      <c r="I10" s="11">
        <f>SUMPRODUCT((Original!$C$3:$C$58='by Product &amp; AIM Area'!I$1)*(Original!$O$2:$AW$2='by Product &amp; AIM Area'!$B10)*(Original!$O$3:$AW$58))
/
SUMPRODUCT((Original!$C$3:$C$58='by Product &amp; AIM Area'!I$1)*(Original!$J$2:$AW$2='by Product &amp; AIM Area'!$B10))</f>
        <v>0.5</v>
      </c>
      <c r="J10" s="11">
        <f>SUMPRODUCT((Original!$C$3:$C$58='by Product &amp; AIM Area'!J$1)*(Original!$O$2:$AW$2='by Product &amp; AIM Area'!$B10)*(Original!$O$3:$AW$58))
/
SUMPRODUCT((Original!$C$3:$C$58='by Product &amp; AIM Area'!J$1)*(Original!$J$2:$AW$2='by Product &amp; AIM Area'!$B10))</f>
        <v>1</v>
      </c>
      <c r="K10" s="11" t="e">
        <f>SUMPRODUCT((Original!$C$3:$C$58='by Product &amp; AIM Area'!K$1)*(Original!$O$2:$AW$2='by Product &amp; AIM Area'!$B10)*(Original!$O$3:$AW$58))
/
SUMPRODUCT((Original!$C$3:$C$58='by Product &amp; AIM Area'!K$1)*(Original!$J$2:$AW$2='by Product &amp; AIM Area'!$B10))</f>
        <v>#DIV/0!</v>
      </c>
      <c r="L10" s="11" t="e">
        <f>SUMPRODUCT((Original!$C$3:$C$58='by Product &amp; AIM Area'!L$1)*(Original!$O$2:$AW$2='by Product &amp; AIM Area'!$B10)*(Original!$O$3:$AW$58))
/
SUMPRODUCT((Original!$C$3:$C$58='by Product &amp; AIM Area'!L$1)*(Original!$J$2:$AW$2='by Product &amp; AIM Area'!$B10))</f>
        <v>#DIV/0!</v>
      </c>
      <c r="M10" s="11">
        <f>SUMPRODUCT((Original!$C$3:$C$58='by Product &amp; AIM Area'!M$1)*(Original!$O$2:$AW$2='by Product &amp; AIM Area'!$B10)*(Original!$O$3:$AW$58))
/
SUMPRODUCT((Original!$C$3:$C$58='by Product &amp; AIM Area'!M$1)*(Original!$J$2:$AW$2='by Product &amp; AIM Area'!$B10))</f>
        <v>1</v>
      </c>
      <c r="N10" s="11" t="e">
        <f>SUMPRODUCT((Original!$C$3:$C$58='by Product &amp; AIM Area'!N$1)*(Original!$O$2:$AW$2='by Product &amp; AIM Area'!$B10)*(Original!$O$3:$AW$58))
/
SUMPRODUCT((Original!$C$3:$C$58='by Product &amp; AIM Area'!N$1)*(Original!$J$2:$AW$2='by Product &amp; AIM Area'!$B10))</f>
        <v>#DIV/0!</v>
      </c>
      <c r="O10" s="11">
        <f>SUMPRODUCT((Original!$C$3:$C$58='by Product &amp; AIM Area'!O$1)*(Original!$O$2:$AW$2='by Product &amp; AIM Area'!$B10)*(Original!$O$3:$AW$58))
/
SUMPRODUCT((Original!$C$3:$C$58='by Product &amp; AIM Area'!O$1)*(Original!$J$2:$AW$2='by Product &amp; AIM Area'!$B10))</f>
        <v>2</v>
      </c>
      <c r="P10" s="11" t="e">
        <f>SUMPRODUCT((Original!$C$3:$C$58='by Product &amp; AIM Area'!P$1)*(Original!$O$2:$AW$2='by Product &amp; AIM Area'!$B10)*(Original!$O$3:$AW$58))
/
SUMPRODUCT((Original!$C$3:$C$58='by Product &amp; AIM Area'!P$1)*(Original!$J$2:$AW$2='by Product &amp; AIM Area'!$B10))</f>
        <v>#DIV/0!</v>
      </c>
      <c r="Q10" s="11">
        <f>SUMPRODUCT((Original!$C$3:$C$58='by Product &amp; AIM Area'!Q$1)*(Original!$O$2:$AW$2='by Product &amp; AIM Area'!$B10)*(Original!$O$3:$AW$58))
/
SUMPRODUCT((Original!$C$3:$C$58='by Product &amp; AIM Area'!Q$1)*(Original!$J$2:$AW$2='by Product &amp; AIM Area'!$B10))</f>
        <v>2</v>
      </c>
      <c r="R10" s="11">
        <f>SUMPRODUCT((Original!$C$3:$C$58='by Product &amp; AIM Area'!R$1)*(Original!$O$2:$AW$2='by Product &amp; AIM Area'!$B10)*(Original!$O$3:$AW$58))
/
SUMPRODUCT((Original!$C$3:$C$58='by Product &amp; AIM Area'!R$1)*(Original!$J$2:$AW$2='by Product &amp; AIM Area'!$B10))</f>
        <v>1.875</v>
      </c>
      <c r="S10" s="11">
        <f>SUMPRODUCT((Original!$C$3:$C$58='by Product &amp; AIM Area'!S$1)*(Original!$O$2:$AW$2='by Product &amp; AIM Area'!$B10)*(Original!$O$3:$AW$58))
/
SUMPRODUCT((Original!$C$3:$C$58='by Product &amp; AIM Area'!S$1)*(Original!$J$2:$AW$2='by Product &amp; AIM Area'!$B10))</f>
        <v>1.25</v>
      </c>
      <c r="T10" s="11">
        <f>SUMPRODUCT((Original!$C$3:$C$58='by Product &amp; AIM Area'!T$1)*(Original!$O$2:$AW$2='by Product &amp; AIM Area'!$B10)*(Original!$O$3:$AW$58))
/
SUMPRODUCT((Original!$C$3:$C$58='by Product &amp; AIM Area'!T$1)*(Original!$J$2:$AW$2='by Product &amp; AIM Area'!$B10))</f>
        <v>1</v>
      </c>
      <c r="U10" s="11" t="e">
        <f>SUMPRODUCT((Original!$C$3:$C$58='by Product &amp; AIM Area'!U$1)*(Original!$O$2:$AW$2='by Product &amp; AIM Area'!$B10)*(Original!$O$3:$AW$58))
/
SUMPRODUCT((Original!$C$3:$C$58='by Product &amp; AIM Area'!U$1)*(Original!$J$2:$AW$2='by Product &amp; AIM Area'!$B10))</f>
        <v>#DIV/0!</v>
      </c>
      <c r="V10" s="11">
        <f>SUMPRODUCT((Original!$C$3:$C$58='by Product &amp; AIM Area'!V$1)*(Original!$O$2:$AW$2='by Product &amp; AIM Area'!$B10)*(Original!$O$3:$AW$58))
/
SUMPRODUCT((Original!$C$3:$C$58='by Product &amp; AIM Area'!V$1)*(Original!$J$2:$AW$2='by Product &amp; AIM Area'!$B10))</f>
        <v>2</v>
      </c>
      <c r="W10" s="11">
        <f>SUMPRODUCT((Original!$C$3:$C$58='by Product &amp; AIM Area'!W$1)*(Original!$O$2:$AW$2='by Product &amp; AIM Area'!$B10)*(Original!$O$3:$AW$58))
/
SUMPRODUCT((Original!$C$3:$C$58='by Product &amp; AIM Area'!W$1)*(Original!$J$2:$AW$2='by Product &amp; AIM Area'!$B10))</f>
        <v>1</v>
      </c>
      <c r="X10" s="11" t="e">
        <f>SUMPRODUCT((Original!$C$3:$C$58='by Product &amp; AIM Area'!X$1)*(Original!$O$2:$AW$2='by Product &amp; AIM Area'!$B10)*(Original!$O$3:$AW$58))
/
SUMPRODUCT((Original!$C$3:$C$58='by Product &amp; AIM Area'!X$1)*(Original!$J$2:$AW$2='by Product &amp; AIM Area'!$B10))</f>
        <v>#DIV/0!</v>
      </c>
      <c r="Y10" s="11" t="e">
        <f>SUMPRODUCT((Original!$C$3:$C$58='by Product &amp; AIM Area'!Y$1)*(Original!$O$2:$AW$2='by Product &amp; AIM Area'!$B10)*(Original!$O$3:$AW$58))
/
SUMPRODUCT((Original!$C$3:$C$58='by Product &amp; AIM Area'!Y$1)*(Original!$J$2:$AW$2='by Product &amp; AIM Area'!$B10))</f>
        <v>#DIV/0!</v>
      </c>
      <c r="Z10" s="11">
        <f>SUMPRODUCT((Original!$C$3:$C$58='by Product &amp; AIM Area'!Z$1)*(Original!$O$2:$AW$2='by Product &amp; AIM Area'!$B10)*(Original!$O$3:$AW$58))
/
SUMPRODUCT((Original!$C$3:$C$58='by Product &amp; AIM Area'!Z$1)*(Original!$J$2:$AW$2='by Product &amp; AIM Area'!$B10))</f>
        <v>0</v>
      </c>
      <c r="AA10" s="11">
        <f>SUMPRODUCT((Original!$C$3:$C$58='by Product &amp; AIM Area'!AA$1)*(Original!$O$2:$AW$2='by Product &amp; AIM Area'!$B10)*(Original!$O$3:$AW$58))
/
SUMPRODUCT((Original!$C$3:$C$58='by Product &amp; AIM Area'!AA$1)*(Original!$J$2:$AW$2='by Product &amp; AIM Area'!$B10))</f>
        <v>2</v>
      </c>
      <c r="AB10" s="11">
        <f>SUMPRODUCT((Original!$C$3:$C$58='by Product &amp; AIM Area'!AB$1)*(Original!$O$2:$AW$2='by Product &amp; AIM Area'!$B10)*(Original!$O$3:$AW$58))
/
SUMPRODUCT((Original!$C$3:$C$58='by Product &amp; AIM Area'!AB$1)*(Original!$J$2:$AW$2='by Product &amp; AIM Area'!$B10))</f>
        <v>0.5</v>
      </c>
      <c r="AC10" s="11">
        <f>SUMPRODUCT((Original!$C$3:$C$58='by Product &amp; AIM Area'!AC$1)*(Original!$O$2:$AW$2='by Product &amp; AIM Area'!$B10)*(Original!$O$3:$AW$58))
/
SUMPRODUCT((Original!$C$3:$C$58='by Product &amp; AIM Area'!AC$1)*(Original!$J$2:$AW$2='by Product &amp; AIM Area'!$B10))</f>
        <v>0.8</v>
      </c>
      <c r="AD10" s="11" t="e">
        <f t="shared" si="0"/>
        <v>#DIV/0!</v>
      </c>
    </row>
    <row r="11" spans="1:30">
      <c r="A11" s="11" t="s">
        <v>338</v>
      </c>
      <c r="B11" s="11" t="s">
        <v>31</v>
      </c>
      <c r="C11" s="11">
        <f>SUMPRODUCT((Original!$C$3:$C$58='by Product &amp; AIM Area'!C$1)*(Original!$O$2:$AW$2='by Product &amp; AIM Area'!$B11)*(Original!$O$3:$AW$58))
/
SUMPRODUCT((Original!$C$3:$C$58='by Product &amp; AIM Area'!C$1)*(Original!$J$2:$AW$2='by Product &amp; AIM Area'!$B11))</f>
        <v>3</v>
      </c>
      <c r="D11" s="11">
        <f>SUMPRODUCT((Original!$C$3:$C$58='by Product &amp; AIM Area'!D$1)*(Original!$O$2:$AW$2='by Product &amp; AIM Area'!$B11)*(Original!$O$3:$AW$58))
/
SUMPRODUCT((Original!$C$3:$C$58='by Product &amp; AIM Area'!D$1)*(Original!$J$2:$AW$2='by Product &amp; AIM Area'!$B11))</f>
        <v>0</v>
      </c>
      <c r="E11" s="11">
        <f>SUMPRODUCT((Original!$C$3:$C$58='by Product &amp; AIM Area'!E$1)*(Original!$O$2:$AW$2='by Product &amp; AIM Area'!$B11)*(Original!$O$3:$AW$58))
/
SUMPRODUCT((Original!$C$3:$C$58='by Product &amp; AIM Area'!E$1)*(Original!$J$2:$AW$2='by Product &amp; AIM Area'!$B11))</f>
        <v>2</v>
      </c>
      <c r="F11" s="11" t="e">
        <f>SUMPRODUCT((Original!$C$3:$C$58='by Product &amp; AIM Area'!F$1)*(Original!$O$2:$AW$2='by Product &amp; AIM Area'!$B11)*(Original!$O$3:$AW$58))
/
SUMPRODUCT((Original!$C$3:$C$58='by Product &amp; AIM Area'!F$1)*(Original!$J$2:$AW$2='by Product &amp; AIM Area'!$B11))</f>
        <v>#DIV/0!</v>
      </c>
      <c r="G11" s="11" t="e">
        <f>SUMPRODUCT((Original!$C$3:$C$58='by Product &amp; AIM Area'!G$1)*(Original!$O$2:$AW$2='by Product &amp; AIM Area'!$B11)*(Original!$O$3:$AW$58))
/
SUMPRODUCT((Original!$C$3:$C$58='by Product &amp; AIM Area'!G$1)*(Original!$J$2:$AW$2='by Product &amp; AIM Area'!$B11))</f>
        <v>#DIV/0!</v>
      </c>
      <c r="H11" s="11" t="e">
        <f>SUMPRODUCT((Original!$C$3:$C$58='by Product &amp; AIM Area'!H$1)*(Original!$O$2:$AW$2='by Product &amp; AIM Area'!$B11)*(Original!$O$3:$AW$58))
/
SUMPRODUCT((Original!$C$3:$C$58='by Product &amp; AIM Area'!H$1)*(Original!$J$2:$AW$2='by Product &amp; AIM Area'!$B11))</f>
        <v>#DIV/0!</v>
      </c>
      <c r="I11" s="11">
        <f>SUMPRODUCT((Original!$C$3:$C$58='by Product &amp; AIM Area'!I$1)*(Original!$O$2:$AW$2='by Product &amp; AIM Area'!$B11)*(Original!$O$3:$AW$58))
/
SUMPRODUCT((Original!$C$3:$C$58='by Product &amp; AIM Area'!I$1)*(Original!$J$2:$AW$2='by Product &amp; AIM Area'!$B11))</f>
        <v>1</v>
      </c>
      <c r="J11" s="11">
        <f>SUMPRODUCT((Original!$C$3:$C$58='by Product &amp; AIM Area'!J$1)*(Original!$O$2:$AW$2='by Product &amp; AIM Area'!$B11)*(Original!$O$3:$AW$58))
/
SUMPRODUCT((Original!$C$3:$C$58='by Product &amp; AIM Area'!J$1)*(Original!$J$2:$AW$2='by Product &amp; AIM Area'!$B11))</f>
        <v>2</v>
      </c>
      <c r="K11" s="11" t="e">
        <f>SUMPRODUCT((Original!$C$3:$C$58='by Product &amp; AIM Area'!K$1)*(Original!$O$2:$AW$2='by Product &amp; AIM Area'!$B11)*(Original!$O$3:$AW$58))
/
SUMPRODUCT((Original!$C$3:$C$58='by Product &amp; AIM Area'!K$1)*(Original!$J$2:$AW$2='by Product &amp; AIM Area'!$B11))</f>
        <v>#DIV/0!</v>
      </c>
      <c r="L11" s="11" t="e">
        <f>SUMPRODUCT((Original!$C$3:$C$58='by Product &amp; AIM Area'!L$1)*(Original!$O$2:$AW$2='by Product &amp; AIM Area'!$B11)*(Original!$O$3:$AW$58))
/
SUMPRODUCT((Original!$C$3:$C$58='by Product &amp; AIM Area'!L$1)*(Original!$J$2:$AW$2='by Product &amp; AIM Area'!$B11))</f>
        <v>#DIV/0!</v>
      </c>
      <c r="M11" s="11">
        <f>SUMPRODUCT((Original!$C$3:$C$58='by Product &amp; AIM Area'!M$1)*(Original!$O$2:$AW$2='by Product &amp; AIM Area'!$B11)*(Original!$O$3:$AW$58))
/
SUMPRODUCT((Original!$C$3:$C$58='by Product &amp; AIM Area'!M$1)*(Original!$J$2:$AW$2='by Product &amp; AIM Area'!$B11))</f>
        <v>3</v>
      </c>
      <c r="N11" s="11" t="e">
        <f>SUMPRODUCT((Original!$C$3:$C$58='by Product &amp; AIM Area'!N$1)*(Original!$O$2:$AW$2='by Product &amp; AIM Area'!$B11)*(Original!$O$3:$AW$58))
/
SUMPRODUCT((Original!$C$3:$C$58='by Product &amp; AIM Area'!N$1)*(Original!$J$2:$AW$2='by Product &amp; AIM Area'!$B11))</f>
        <v>#DIV/0!</v>
      </c>
      <c r="O11" s="11">
        <f>SUMPRODUCT((Original!$C$3:$C$58='by Product &amp; AIM Area'!O$1)*(Original!$O$2:$AW$2='by Product &amp; AIM Area'!$B11)*(Original!$O$3:$AW$58))
/
SUMPRODUCT((Original!$C$3:$C$58='by Product &amp; AIM Area'!O$1)*(Original!$J$2:$AW$2='by Product &amp; AIM Area'!$B11))</f>
        <v>2</v>
      </c>
      <c r="P11" s="11" t="e">
        <f>SUMPRODUCT((Original!$C$3:$C$58='by Product &amp; AIM Area'!P$1)*(Original!$O$2:$AW$2='by Product &amp; AIM Area'!$B11)*(Original!$O$3:$AW$58))
/
SUMPRODUCT((Original!$C$3:$C$58='by Product &amp; AIM Area'!P$1)*(Original!$J$2:$AW$2='by Product &amp; AIM Area'!$B11))</f>
        <v>#DIV/0!</v>
      </c>
      <c r="Q11" s="11">
        <f>SUMPRODUCT((Original!$C$3:$C$58='by Product &amp; AIM Area'!Q$1)*(Original!$O$2:$AW$2='by Product &amp; AIM Area'!$B11)*(Original!$O$3:$AW$58))
/
SUMPRODUCT((Original!$C$3:$C$58='by Product &amp; AIM Area'!Q$1)*(Original!$J$2:$AW$2='by Product &amp; AIM Area'!$B11))</f>
        <v>2</v>
      </c>
      <c r="R11" s="11">
        <f>SUMPRODUCT((Original!$C$3:$C$58='by Product &amp; AIM Area'!R$1)*(Original!$O$2:$AW$2='by Product &amp; AIM Area'!$B11)*(Original!$O$3:$AW$58))
/
SUMPRODUCT((Original!$C$3:$C$58='by Product &amp; AIM Area'!R$1)*(Original!$J$2:$AW$2='by Product &amp; AIM Area'!$B11))</f>
        <v>2.25</v>
      </c>
      <c r="S11" s="11">
        <f>SUMPRODUCT((Original!$C$3:$C$58='by Product &amp; AIM Area'!S$1)*(Original!$O$2:$AW$2='by Product &amp; AIM Area'!$B11)*(Original!$O$3:$AW$58))
/
SUMPRODUCT((Original!$C$3:$C$58='by Product &amp; AIM Area'!S$1)*(Original!$J$2:$AW$2='by Product &amp; AIM Area'!$B11))</f>
        <v>1.5</v>
      </c>
      <c r="T11" s="11">
        <f>SUMPRODUCT((Original!$C$3:$C$58='by Product &amp; AIM Area'!T$1)*(Original!$O$2:$AW$2='by Product &amp; AIM Area'!$B11)*(Original!$O$3:$AW$58))
/
SUMPRODUCT((Original!$C$3:$C$58='by Product &amp; AIM Area'!T$1)*(Original!$J$2:$AW$2='by Product &amp; AIM Area'!$B11))</f>
        <v>1.75</v>
      </c>
      <c r="U11" s="11" t="e">
        <f>SUMPRODUCT((Original!$C$3:$C$58='by Product &amp; AIM Area'!U$1)*(Original!$O$2:$AW$2='by Product &amp; AIM Area'!$B11)*(Original!$O$3:$AW$58))
/
SUMPRODUCT((Original!$C$3:$C$58='by Product &amp; AIM Area'!U$1)*(Original!$J$2:$AW$2='by Product &amp; AIM Area'!$B11))</f>
        <v>#DIV/0!</v>
      </c>
      <c r="V11" s="11">
        <f>SUMPRODUCT((Original!$C$3:$C$58='by Product &amp; AIM Area'!V$1)*(Original!$O$2:$AW$2='by Product &amp; AIM Area'!$B11)*(Original!$O$3:$AW$58))
/
SUMPRODUCT((Original!$C$3:$C$58='by Product &amp; AIM Area'!V$1)*(Original!$J$2:$AW$2='by Product &amp; AIM Area'!$B11))</f>
        <v>0</v>
      </c>
      <c r="W11" s="11">
        <f>SUMPRODUCT((Original!$C$3:$C$58='by Product &amp; AIM Area'!W$1)*(Original!$O$2:$AW$2='by Product &amp; AIM Area'!$B11)*(Original!$O$3:$AW$58))
/
SUMPRODUCT((Original!$C$3:$C$58='by Product &amp; AIM Area'!W$1)*(Original!$J$2:$AW$2='by Product &amp; AIM Area'!$B11))</f>
        <v>2</v>
      </c>
      <c r="X11" s="11" t="e">
        <f>SUMPRODUCT((Original!$C$3:$C$58='by Product &amp; AIM Area'!X$1)*(Original!$O$2:$AW$2='by Product &amp; AIM Area'!$B11)*(Original!$O$3:$AW$58))
/
SUMPRODUCT((Original!$C$3:$C$58='by Product &amp; AIM Area'!X$1)*(Original!$J$2:$AW$2='by Product &amp; AIM Area'!$B11))</f>
        <v>#DIV/0!</v>
      </c>
      <c r="Y11" s="11" t="e">
        <f>SUMPRODUCT((Original!$C$3:$C$58='by Product &amp; AIM Area'!Y$1)*(Original!$O$2:$AW$2='by Product &amp; AIM Area'!$B11)*(Original!$O$3:$AW$58))
/
SUMPRODUCT((Original!$C$3:$C$58='by Product &amp; AIM Area'!Y$1)*(Original!$J$2:$AW$2='by Product &amp; AIM Area'!$B11))</f>
        <v>#DIV/0!</v>
      </c>
      <c r="Z11" s="11">
        <f>SUMPRODUCT((Original!$C$3:$C$58='by Product &amp; AIM Area'!Z$1)*(Original!$O$2:$AW$2='by Product &amp; AIM Area'!$B11)*(Original!$O$3:$AW$58))
/
SUMPRODUCT((Original!$C$3:$C$58='by Product &amp; AIM Area'!Z$1)*(Original!$J$2:$AW$2='by Product &amp; AIM Area'!$B11))</f>
        <v>1</v>
      </c>
      <c r="AA11" s="11">
        <f>SUMPRODUCT((Original!$C$3:$C$58='by Product &amp; AIM Area'!AA$1)*(Original!$O$2:$AW$2='by Product &amp; AIM Area'!$B11)*(Original!$O$3:$AW$58))
/
SUMPRODUCT((Original!$C$3:$C$58='by Product &amp; AIM Area'!AA$1)*(Original!$J$2:$AW$2='by Product &amp; AIM Area'!$B11))</f>
        <v>2</v>
      </c>
      <c r="AB11" s="11">
        <f>SUMPRODUCT((Original!$C$3:$C$58='by Product &amp; AIM Area'!AB$1)*(Original!$O$2:$AW$2='by Product &amp; AIM Area'!$B11)*(Original!$O$3:$AW$58))
/
SUMPRODUCT((Original!$C$3:$C$58='by Product &amp; AIM Area'!AB$1)*(Original!$J$2:$AW$2='by Product &amp; AIM Area'!$B11))</f>
        <v>1</v>
      </c>
      <c r="AC11" s="11">
        <f>SUMPRODUCT((Original!$C$3:$C$58='by Product &amp; AIM Area'!AC$1)*(Original!$O$2:$AW$2='by Product &amp; AIM Area'!$B11)*(Original!$O$3:$AW$58))
/
SUMPRODUCT((Original!$C$3:$C$58='by Product &amp; AIM Area'!AC$1)*(Original!$J$2:$AW$2='by Product &amp; AIM Area'!$B11))</f>
        <v>1.6</v>
      </c>
      <c r="AD11" s="11" t="e">
        <f t="shared" si="0"/>
        <v>#DIV/0!</v>
      </c>
    </row>
    <row r="12" spans="1:30" ht="45">
      <c r="A12" s="11" t="s">
        <v>338</v>
      </c>
      <c r="B12" s="11" t="s">
        <v>32</v>
      </c>
      <c r="C12" s="11">
        <f>SUMPRODUCT((Original!$C$3:$C$58='by Product &amp; AIM Area'!C$1)*(Original!$O$2:$AW$2='by Product &amp; AIM Area'!$B12)*(Original!$O$3:$AW$58))
/
SUMPRODUCT((Original!$C$3:$C$58='by Product &amp; AIM Area'!C$1)*(Original!$J$2:$AW$2='by Product &amp; AIM Area'!$B12))</f>
        <v>1</v>
      </c>
      <c r="D12" s="11">
        <f>SUMPRODUCT((Original!$C$3:$C$58='by Product &amp; AIM Area'!D$1)*(Original!$O$2:$AW$2='by Product &amp; AIM Area'!$B12)*(Original!$O$3:$AW$58))
/
SUMPRODUCT((Original!$C$3:$C$58='by Product &amp; AIM Area'!D$1)*(Original!$J$2:$AW$2='by Product &amp; AIM Area'!$B12))</f>
        <v>0</v>
      </c>
      <c r="E12" s="11">
        <f>SUMPRODUCT((Original!$C$3:$C$58='by Product &amp; AIM Area'!E$1)*(Original!$O$2:$AW$2='by Product &amp; AIM Area'!$B12)*(Original!$O$3:$AW$58))
/
SUMPRODUCT((Original!$C$3:$C$58='by Product &amp; AIM Area'!E$1)*(Original!$J$2:$AW$2='by Product &amp; AIM Area'!$B12))</f>
        <v>1.5</v>
      </c>
      <c r="F12" s="11" t="e">
        <f>SUMPRODUCT((Original!$C$3:$C$58='by Product &amp; AIM Area'!F$1)*(Original!$O$2:$AW$2='by Product &amp; AIM Area'!$B12)*(Original!$O$3:$AW$58))
/
SUMPRODUCT((Original!$C$3:$C$58='by Product &amp; AIM Area'!F$1)*(Original!$J$2:$AW$2='by Product &amp; AIM Area'!$B12))</f>
        <v>#DIV/0!</v>
      </c>
      <c r="G12" s="11" t="e">
        <f>SUMPRODUCT((Original!$C$3:$C$58='by Product &amp; AIM Area'!G$1)*(Original!$O$2:$AW$2='by Product &amp; AIM Area'!$B12)*(Original!$O$3:$AW$58))
/
SUMPRODUCT((Original!$C$3:$C$58='by Product &amp; AIM Area'!G$1)*(Original!$J$2:$AW$2='by Product &amp; AIM Area'!$B12))</f>
        <v>#DIV/0!</v>
      </c>
      <c r="H12" s="11" t="e">
        <f>SUMPRODUCT((Original!$C$3:$C$58='by Product &amp; AIM Area'!H$1)*(Original!$O$2:$AW$2='by Product &amp; AIM Area'!$B12)*(Original!$O$3:$AW$58))
/
SUMPRODUCT((Original!$C$3:$C$58='by Product &amp; AIM Area'!H$1)*(Original!$J$2:$AW$2='by Product &amp; AIM Area'!$B12))</f>
        <v>#DIV/0!</v>
      </c>
      <c r="I12" s="11">
        <f>SUMPRODUCT((Original!$C$3:$C$58='by Product &amp; AIM Area'!I$1)*(Original!$O$2:$AW$2='by Product &amp; AIM Area'!$B12)*(Original!$O$3:$AW$58))
/
SUMPRODUCT((Original!$C$3:$C$58='by Product &amp; AIM Area'!I$1)*(Original!$J$2:$AW$2='by Product &amp; AIM Area'!$B12))</f>
        <v>1</v>
      </c>
      <c r="J12" s="11">
        <f>SUMPRODUCT((Original!$C$3:$C$58='by Product &amp; AIM Area'!J$1)*(Original!$O$2:$AW$2='by Product &amp; AIM Area'!$B12)*(Original!$O$3:$AW$58))
/
SUMPRODUCT((Original!$C$3:$C$58='by Product &amp; AIM Area'!J$1)*(Original!$J$2:$AW$2='by Product &amp; AIM Area'!$B12))</f>
        <v>1</v>
      </c>
      <c r="K12" s="11" t="e">
        <f>SUMPRODUCT((Original!$C$3:$C$58='by Product &amp; AIM Area'!K$1)*(Original!$O$2:$AW$2='by Product &amp; AIM Area'!$B12)*(Original!$O$3:$AW$58))
/
SUMPRODUCT((Original!$C$3:$C$58='by Product &amp; AIM Area'!K$1)*(Original!$J$2:$AW$2='by Product &amp; AIM Area'!$B12))</f>
        <v>#DIV/0!</v>
      </c>
      <c r="L12" s="11" t="e">
        <f>SUMPRODUCT((Original!$C$3:$C$58='by Product &amp; AIM Area'!L$1)*(Original!$O$2:$AW$2='by Product &amp; AIM Area'!$B12)*(Original!$O$3:$AW$58))
/
SUMPRODUCT((Original!$C$3:$C$58='by Product &amp; AIM Area'!L$1)*(Original!$J$2:$AW$2='by Product &amp; AIM Area'!$B12))</f>
        <v>#DIV/0!</v>
      </c>
      <c r="M12" s="11">
        <f>SUMPRODUCT((Original!$C$3:$C$58='by Product &amp; AIM Area'!M$1)*(Original!$O$2:$AW$2='by Product &amp; AIM Area'!$B12)*(Original!$O$3:$AW$58))
/
SUMPRODUCT((Original!$C$3:$C$58='by Product &amp; AIM Area'!M$1)*(Original!$J$2:$AW$2='by Product &amp; AIM Area'!$B12))</f>
        <v>0</v>
      </c>
      <c r="N12" s="11" t="e">
        <f>SUMPRODUCT((Original!$C$3:$C$58='by Product &amp; AIM Area'!N$1)*(Original!$O$2:$AW$2='by Product &amp; AIM Area'!$B12)*(Original!$O$3:$AW$58))
/
SUMPRODUCT((Original!$C$3:$C$58='by Product &amp; AIM Area'!N$1)*(Original!$J$2:$AW$2='by Product &amp; AIM Area'!$B12))</f>
        <v>#DIV/0!</v>
      </c>
      <c r="O12" s="11">
        <f>SUMPRODUCT((Original!$C$3:$C$58='by Product &amp; AIM Area'!O$1)*(Original!$O$2:$AW$2='by Product &amp; AIM Area'!$B12)*(Original!$O$3:$AW$58))
/
SUMPRODUCT((Original!$C$3:$C$58='by Product &amp; AIM Area'!O$1)*(Original!$J$2:$AW$2='by Product &amp; AIM Area'!$B12))</f>
        <v>1</v>
      </c>
      <c r="P12" s="11" t="e">
        <f>SUMPRODUCT((Original!$C$3:$C$58='by Product &amp; AIM Area'!P$1)*(Original!$O$2:$AW$2='by Product &amp; AIM Area'!$B12)*(Original!$O$3:$AW$58))
/
SUMPRODUCT((Original!$C$3:$C$58='by Product &amp; AIM Area'!P$1)*(Original!$J$2:$AW$2='by Product &amp; AIM Area'!$B12))</f>
        <v>#DIV/0!</v>
      </c>
      <c r="Q12" s="11">
        <f>SUMPRODUCT((Original!$C$3:$C$58='by Product &amp; AIM Area'!Q$1)*(Original!$O$2:$AW$2='by Product &amp; AIM Area'!$B12)*(Original!$O$3:$AW$58))
/
SUMPRODUCT((Original!$C$3:$C$58='by Product &amp; AIM Area'!Q$1)*(Original!$J$2:$AW$2='by Product &amp; AIM Area'!$B12))</f>
        <v>1</v>
      </c>
      <c r="R12" s="11">
        <f>SUMPRODUCT((Original!$C$3:$C$58='by Product &amp; AIM Area'!R$1)*(Original!$O$2:$AW$2='by Product &amp; AIM Area'!$B12)*(Original!$O$3:$AW$58))
/
SUMPRODUCT((Original!$C$3:$C$58='by Product &amp; AIM Area'!R$1)*(Original!$J$2:$AW$2='by Product &amp; AIM Area'!$B12))</f>
        <v>1.75</v>
      </c>
      <c r="S12" s="11">
        <f>SUMPRODUCT((Original!$C$3:$C$58='by Product &amp; AIM Area'!S$1)*(Original!$O$2:$AW$2='by Product &amp; AIM Area'!$B12)*(Original!$O$3:$AW$58))
/
SUMPRODUCT((Original!$C$3:$C$58='by Product &amp; AIM Area'!S$1)*(Original!$J$2:$AW$2='by Product &amp; AIM Area'!$B12))</f>
        <v>0.875</v>
      </c>
      <c r="T12" s="11">
        <f>SUMPRODUCT((Original!$C$3:$C$58='by Product &amp; AIM Area'!T$1)*(Original!$O$2:$AW$2='by Product &amp; AIM Area'!$B12)*(Original!$O$3:$AW$58))
/
SUMPRODUCT((Original!$C$3:$C$58='by Product &amp; AIM Area'!T$1)*(Original!$J$2:$AW$2='by Product &amp; AIM Area'!$B12))</f>
        <v>1</v>
      </c>
      <c r="U12" s="11" t="e">
        <f>SUMPRODUCT((Original!$C$3:$C$58='by Product &amp; AIM Area'!U$1)*(Original!$O$2:$AW$2='by Product &amp; AIM Area'!$B12)*(Original!$O$3:$AW$58))
/
SUMPRODUCT((Original!$C$3:$C$58='by Product &amp; AIM Area'!U$1)*(Original!$J$2:$AW$2='by Product &amp; AIM Area'!$B12))</f>
        <v>#DIV/0!</v>
      </c>
      <c r="V12" s="11">
        <f>SUMPRODUCT((Original!$C$3:$C$58='by Product &amp; AIM Area'!V$1)*(Original!$O$2:$AW$2='by Product &amp; AIM Area'!$B12)*(Original!$O$3:$AW$58))
/
SUMPRODUCT((Original!$C$3:$C$58='by Product &amp; AIM Area'!V$1)*(Original!$J$2:$AW$2='by Product &amp; AIM Area'!$B12))</f>
        <v>1</v>
      </c>
      <c r="W12" s="11">
        <f>SUMPRODUCT((Original!$C$3:$C$58='by Product &amp; AIM Area'!W$1)*(Original!$O$2:$AW$2='by Product &amp; AIM Area'!$B12)*(Original!$O$3:$AW$58))
/
SUMPRODUCT((Original!$C$3:$C$58='by Product &amp; AIM Area'!W$1)*(Original!$J$2:$AW$2='by Product &amp; AIM Area'!$B12))</f>
        <v>1</v>
      </c>
      <c r="X12" s="11" t="e">
        <f>SUMPRODUCT((Original!$C$3:$C$58='by Product &amp; AIM Area'!X$1)*(Original!$O$2:$AW$2='by Product &amp; AIM Area'!$B12)*(Original!$O$3:$AW$58))
/
SUMPRODUCT((Original!$C$3:$C$58='by Product &amp; AIM Area'!X$1)*(Original!$J$2:$AW$2='by Product &amp; AIM Area'!$B12))</f>
        <v>#DIV/0!</v>
      </c>
      <c r="Y12" s="11" t="e">
        <f>SUMPRODUCT((Original!$C$3:$C$58='by Product &amp; AIM Area'!Y$1)*(Original!$O$2:$AW$2='by Product &amp; AIM Area'!$B12)*(Original!$O$3:$AW$58))
/
SUMPRODUCT((Original!$C$3:$C$58='by Product &amp; AIM Area'!Y$1)*(Original!$J$2:$AW$2='by Product &amp; AIM Area'!$B12))</f>
        <v>#DIV/0!</v>
      </c>
      <c r="Z12" s="11">
        <f>SUMPRODUCT((Original!$C$3:$C$58='by Product &amp; AIM Area'!Z$1)*(Original!$O$2:$AW$2='by Product &amp; AIM Area'!$B12)*(Original!$O$3:$AW$58))
/
SUMPRODUCT((Original!$C$3:$C$58='by Product &amp; AIM Area'!Z$1)*(Original!$J$2:$AW$2='by Product &amp; AIM Area'!$B12))</f>
        <v>1</v>
      </c>
      <c r="AA12" s="11">
        <f>SUMPRODUCT((Original!$C$3:$C$58='by Product &amp; AIM Area'!AA$1)*(Original!$O$2:$AW$2='by Product &amp; AIM Area'!$B12)*(Original!$O$3:$AW$58))
/
SUMPRODUCT((Original!$C$3:$C$58='by Product &amp; AIM Area'!AA$1)*(Original!$J$2:$AW$2='by Product &amp; AIM Area'!$B12))</f>
        <v>1</v>
      </c>
      <c r="AB12" s="11">
        <f>SUMPRODUCT((Original!$C$3:$C$58='by Product &amp; AIM Area'!AB$1)*(Original!$O$2:$AW$2='by Product &amp; AIM Area'!$B12)*(Original!$O$3:$AW$58))
/
SUMPRODUCT((Original!$C$3:$C$58='by Product &amp; AIM Area'!AB$1)*(Original!$J$2:$AW$2='by Product &amp; AIM Area'!$B12))</f>
        <v>0</v>
      </c>
      <c r="AC12" s="11">
        <f>SUMPRODUCT((Original!$C$3:$C$58='by Product &amp; AIM Area'!AC$1)*(Original!$O$2:$AW$2='by Product &amp; AIM Area'!$B12)*(Original!$O$3:$AW$58))
/
SUMPRODUCT((Original!$C$3:$C$58='by Product &amp; AIM Area'!AC$1)*(Original!$J$2:$AW$2='by Product &amp; AIM Area'!$B12))</f>
        <v>0.2</v>
      </c>
      <c r="AD12" s="11" t="e">
        <f t="shared" si="0"/>
        <v>#DIV/0!</v>
      </c>
    </row>
    <row r="13" spans="1:30" ht="45">
      <c r="A13" s="11" t="s">
        <v>338</v>
      </c>
      <c r="B13" s="11" t="s">
        <v>33</v>
      </c>
      <c r="C13" s="11">
        <f>SUMPRODUCT((Original!$C$3:$C$58='by Product &amp; AIM Area'!C$1)*(Original!$O$2:$AW$2='by Product &amp; AIM Area'!$B13)*(Original!$O$3:$AW$58))
/
SUMPRODUCT((Original!$C$3:$C$58='by Product &amp; AIM Area'!C$1)*(Original!$J$2:$AW$2='by Product &amp; AIM Area'!$B13))</f>
        <v>1</v>
      </c>
      <c r="D13" s="11">
        <f>SUMPRODUCT((Original!$C$3:$C$58='by Product &amp; AIM Area'!D$1)*(Original!$O$2:$AW$2='by Product &amp; AIM Area'!$B13)*(Original!$O$3:$AW$58))
/
SUMPRODUCT((Original!$C$3:$C$58='by Product &amp; AIM Area'!D$1)*(Original!$J$2:$AW$2='by Product &amp; AIM Area'!$B13))</f>
        <v>1</v>
      </c>
      <c r="E13" s="11">
        <f>SUMPRODUCT((Original!$C$3:$C$58='by Product &amp; AIM Area'!E$1)*(Original!$O$2:$AW$2='by Product &amp; AIM Area'!$B13)*(Original!$O$3:$AW$58))
/
SUMPRODUCT((Original!$C$3:$C$58='by Product &amp; AIM Area'!E$1)*(Original!$J$2:$AW$2='by Product &amp; AIM Area'!$B13))</f>
        <v>1</v>
      </c>
      <c r="F13" s="11" t="e">
        <f>SUMPRODUCT((Original!$C$3:$C$58='by Product &amp; AIM Area'!F$1)*(Original!$O$2:$AW$2='by Product &amp; AIM Area'!$B13)*(Original!$O$3:$AW$58))
/
SUMPRODUCT((Original!$C$3:$C$58='by Product &amp; AIM Area'!F$1)*(Original!$J$2:$AW$2='by Product &amp; AIM Area'!$B13))</f>
        <v>#DIV/0!</v>
      </c>
      <c r="G13" s="11" t="e">
        <f>SUMPRODUCT((Original!$C$3:$C$58='by Product &amp; AIM Area'!G$1)*(Original!$O$2:$AW$2='by Product &amp; AIM Area'!$B13)*(Original!$O$3:$AW$58))
/
SUMPRODUCT((Original!$C$3:$C$58='by Product &amp; AIM Area'!G$1)*(Original!$J$2:$AW$2='by Product &amp; AIM Area'!$B13))</f>
        <v>#DIV/0!</v>
      </c>
      <c r="H13" s="11" t="e">
        <f>SUMPRODUCT((Original!$C$3:$C$58='by Product &amp; AIM Area'!H$1)*(Original!$O$2:$AW$2='by Product &amp; AIM Area'!$B13)*(Original!$O$3:$AW$58))
/
SUMPRODUCT((Original!$C$3:$C$58='by Product &amp; AIM Area'!H$1)*(Original!$J$2:$AW$2='by Product &amp; AIM Area'!$B13))</f>
        <v>#DIV/0!</v>
      </c>
      <c r="I13" s="11">
        <f>SUMPRODUCT((Original!$C$3:$C$58='by Product &amp; AIM Area'!I$1)*(Original!$O$2:$AW$2='by Product &amp; AIM Area'!$B13)*(Original!$O$3:$AW$58))
/
SUMPRODUCT((Original!$C$3:$C$58='by Product &amp; AIM Area'!I$1)*(Original!$J$2:$AW$2='by Product &amp; AIM Area'!$B13))</f>
        <v>1</v>
      </c>
      <c r="J13" s="11">
        <f>SUMPRODUCT((Original!$C$3:$C$58='by Product &amp; AIM Area'!J$1)*(Original!$O$2:$AW$2='by Product &amp; AIM Area'!$B13)*(Original!$O$3:$AW$58))
/
SUMPRODUCT((Original!$C$3:$C$58='by Product &amp; AIM Area'!J$1)*(Original!$J$2:$AW$2='by Product &amp; AIM Area'!$B13))</f>
        <v>1</v>
      </c>
      <c r="K13" s="11" t="e">
        <f>SUMPRODUCT((Original!$C$3:$C$58='by Product &amp; AIM Area'!K$1)*(Original!$O$2:$AW$2='by Product &amp; AIM Area'!$B13)*(Original!$O$3:$AW$58))
/
SUMPRODUCT((Original!$C$3:$C$58='by Product &amp; AIM Area'!K$1)*(Original!$J$2:$AW$2='by Product &amp; AIM Area'!$B13))</f>
        <v>#DIV/0!</v>
      </c>
      <c r="L13" s="11" t="e">
        <f>SUMPRODUCT((Original!$C$3:$C$58='by Product &amp; AIM Area'!L$1)*(Original!$O$2:$AW$2='by Product &amp; AIM Area'!$B13)*(Original!$O$3:$AW$58))
/
SUMPRODUCT((Original!$C$3:$C$58='by Product &amp; AIM Area'!L$1)*(Original!$J$2:$AW$2='by Product &amp; AIM Area'!$B13))</f>
        <v>#DIV/0!</v>
      </c>
      <c r="M13" s="11">
        <f>SUMPRODUCT((Original!$C$3:$C$58='by Product &amp; AIM Area'!M$1)*(Original!$O$2:$AW$2='by Product &amp; AIM Area'!$B13)*(Original!$O$3:$AW$58))
/
SUMPRODUCT((Original!$C$3:$C$58='by Product &amp; AIM Area'!M$1)*(Original!$J$2:$AW$2='by Product &amp; AIM Area'!$B13))</f>
        <v>0</v>
      </c>
      <c r="N13" s="11" t="e">
        <f>SUMPRODUCT((Original!$C$3:$C$58='by Product &amp; AIM Area'!N$1)*(Original!$O$2:$AW$2='by Product &amp; AIM Area'!$B13)*(Original!$O$3:$AW$58))
/
SUMPRODUCT((Original!$C$3:$C$58='by Product &amp; AIM Area'!N$1)*(Original!$J$2:$AW$2='by Product &amp; AIM Area'!$B13))</f>
        <v>#DIV/0!</v>
      </c>
      <c r="O13" s="11">
        <f>SUMPRODUCT((Original!$C$3:$C$58='by Product &amp; AIM Area'!O$1)*(Original!$O$2:$AW$2='by Product &amp; AIM Area'!$B13)*(Original!$O$3:$AW$58))
/
SUMPRODUCT((Original!$C$3:$C$58='by Product &amp; AIM Area'!O$1)*(Original!$J$2:$AW$2='by Product &amp; AIM Area'!$B13))</f>
        <v>3</v>
      </c>
      <c r="P13" s="11" t="e">
        <f>SUMPRODUCT((Original!$C$3:$C$58='by Product &amp; AIM Area'!P$1)*(Original!$O$2:$AW$2='by Product &amp; AIM Area'!$B13)*(Original!$O$3:$AW$58))
/
SUMPRODUCT((Original!$C$3:$C$58='by Product &amp; AIM Area'!P$1)*(Original!$J$2:$AW$2='by Product &amp; AIM Area'!$B13))</f>
        <v>#DIV/0!</v>
      </c>
      <c r="Q13" s="11">
        <f>SUMPRODUCT((Original!$C$3:$C$58='by Product &amp; AIM Area'!Q$1)*(Original!$O$2:$AW$2='by Product &amp; AIM Area'!$B13)*(Original!$O$3:$AW$58))
/
SUMPRODUCT((Original!$C$3:$C$58='by Product &amp; AIM Area'!Q$1)*(Original!$J$2:$AW$2='by Product &amp; AIM Area'!$B13))</f>
        <v>0</v>
      </c>
      <c r="R13" s="11">
        <f>SUMPRODUCT((Original!$C$3:$C$58='by Product &amp; AIM Area'!R$1)*(Original!$O$2:$AW$2='by Product &amp; AIM Area'!$B13)*(Original!$O$3:$AW$58))
/
SUMPRODUCT((Original!$C$3:$C$58='by Product &amp; AIM Area'!R$1)*(Original!$J$2:$AW$2='by Product &amp; AIM Area'!$B13))</f>
        <v>1</v>
      </c>
      <c r="S13" s="11">
        <f>SUMPRODUCT((Original!$C$3:$C$58='by Product &amp; AIM Area'!S$1)*(Original!$O$2:$AW$2='by Product &amp; AIM Area'!$B13)*(Original!$O$3:$AW$58))
/
SUMPRODUCT((Original!$C$3:$C$58='by Product &amp; AIM Area'!S$1)*(Original!$J$2:$AW$2='by Product &amp; AIM Area'!$B13))</f>
        <v>0.5</v>
      </c>
      <c r="T13" s="11">
        <f>SUMPRODUCT((Original!$C$3:$C$58='by Product &amp; AIM Area'!T$1)*(Original!$O$2:$AW$2='by Product &amp; AIM Area'!$B13)*(Original!$O$3:$AW$58))
/
SUMPRODUCT((Original!$C$3:$C$58='by Product &amp; AIM Area'!T$1)*(Original!$J$2:$AW$2='by Product &amp; AIM Area'!$B13))</f>
        <v>1</v>
      </c>
      <c r="U13" s="11" t="e">
        <f>SUMPRODUCT((Original!$C$3:$C$58='by Product &amp; AIM Area'!U$1)*(Original!$O$2:$AW$2='by Product &amp; AIM Area'!$B13)*(Original!$O$3:$AW$58))
/
SUMPRODUCT((Original!$C$3:$C$58='by Product &amp; AIM Area'!U$1)*(Original!$J$2:$AW$2='by Product &amp; AIM Area'!$B13))</f>
        <v>#DIV/0!</v>
      </c>
      <c r="V13" s="11">
        <f>SUMPRODUCT((Original!$C$3:$C$58='by Product &amp; AIM Area'!V$1)*(Original!$O$2:$AW$2='by Product &amp; AIM Area'!$B13)*(Original!$O$3:$AW$58))
/
SUMPRODUCT((Original!$C$3:$C$58='by Product &amp; AIM Area'!V$1)*(Original!$J$2:$AW$2='by Product &amp; AIM Area'!$B13))</f>
        <v>1</v>
      </c>
      <c r="W13" s="11">
        <f>SUMPRODUCT((Original!$C$3:$C$58='by Product &amp; AIM Area'!W$1)*(Original!$O$2:$AW$2='by Product &amp; AIM Area'!$B13)*(Original!$O$3:$AW$58))
/
SUMPRODUCT((Original!$C$3:$C$58='by Product &amp; AIM Area'!W$1)*(Original!$J$2:$AW$2='by Product &amp; AIM Area'!$B13))</f>
        <v>1</v>
      </c>
      <c r="X13" s="11" t="e">
        <f>SUMPRODUCT((Original!$C$3:$C$58='by Product &amp; AIM Area'!X$1)*(Original!$O$2:$AW$2='by Product &amp; AIM Area'!$B13)*(Original!$O$3:$AW$58))
/
SUMPRODUCT((Original!$C$3:$C$58='by Product &amp; AIM Area'!X$1)*(Original!$J$2:$AW$2='by Product &amp; AIM Area'!$B13))</f>
        <v>#DIV/0!</v>
      </c>
      <c r="Y13" s="11" t="e">
        <f>SUMPRODUCT((Original!$C$3:$C$58='by Product &amp; AIM Area'!Y$1)*(Original!$O$2:$AW$2='by Product &amp; AIM Area'!$B13)*(Original!$O$3:$AW$58))
/
SUMPRODUCT((Original!$C$3:$C$58='by Product &amp; AIM Area'!Y$1)*(Original!$J$2:$AW$2='by Product &amp; AIM Area'!$B13))</f>
        <v>#DIV/0!</v>
      </c>
      <c r="Z13" s="11">
        <f>SUMPRODUCT((Original!$C$3:$C$58='by Product &amp; AIM Area'!Z$1)*(Original!$O$2:$AW$2='by Product &amp; AIM Area'!$B13)*(Original!$O$3:$AW$58))
/
SUMPRODUCT((Original!$C$3:$C$58='by Product &amp; AIM Area'!Z$1)*(Original!$J$2:$AW$2='by Product &amp; AIM Area'!$B13))</f>
        <v>1</v>
      </c>
      <c r="AA13" s="11">
        <f>SUMPRODUCT((Original!$C$3:$C$58='by Product &amp; AIM Area'!AA$1)*(Original!$O$2:$AW$2='by Product &amp; AIM Area'!$B13)*(Original!$O$3:$AW$58))
/
SUMPRODUCT((Original!$C$3:$C$58='by Product &amp; AIM Area'!AA$1)*(Original!$J$2:$AW$2='by Product &amp; AIM Area'!$B13))</f>
        <v>0</v>
      </c>
      <c r="AB13" s="11">
        <f>SUMPRODUCT((Original!$C$3:$C$58='by Product &amp; AIM Area'!AB$1)*(Original!$O$2:$AW$2='by Product &amp; AIM Area'!$B13)*(Original!$O$3:$AW$58))
/
SUMPRODUCT((Original!$C$3:$C$58='by Product &amp; AIM Area'!AB$1)*(Original!$J$2:$AW$2='by Product &amp; AIM Area'!$B13))</f>
        <v>0</v>
      </c>
      <c r="AC13" s="11">
        <f>SUMPRODUCT((Original!$C$3:$C$58='by Product &amp; AIM Area'!AC$1)*(Original!$O$2:$AW$2='by Product &amp; AIM Area'!$B13)*(Original!$O$3:$AW$58))
/
SUMPRODUCT((Original!$C$3:$C$58='by Product &amp; AIM Area'!AC$1)*(Original!$J$2:$AW$2='by Product &amp; AIM Area'!$B13))</f>
        <v>0</v>
      </c>
      <c r="AD13" s="11" t="e">
        <f t="shared" si="0"/>
        <v>#DIV/0!</v>
      </c>
    </row>
    <row r="14" spans="1:30">
      <c r="A14" s="11" t="s">
        <v>338</v>
      </c>
      <c r="B14" s="11" t="s">
        <v>34</v>
      </c>
      <c r="C14" s="11">
        <f>SUMPRODUCT((Original!$C$3:$C$58='by Product &amp; AIM Area'!C$1)*(Original!$O$2:$AW$2='by Product &amp; AIM Area'!$B14)*(Original!$O$3:$AW$58))
/
SUMPRODUCT((Original!$C$3:$C$58='by Product &amp; AIM Area'!C$1)*(Original!$J$2:$AW$2='by Product &amp; AIM Area'!$B14))</f>
        <v>3</v>
      </c>
      <c r="D14" s="11">
        <f>SUMPRODUCT((Original!$C$3:$C$58='by Product &amp; AIM Area'!D$1)*(Original!$O$2:$AW$2='by Product &amp; AIM Area'!$B14)*(Original!$O$3:$AW$58))
/
SUMPRODUCT((Original!$C$3:$C$58='by Product &amp; AIM Area'!D$1)*(Original!$J$2:$AW$2='by Product &amp; AIM Area'!$B14))</f>
        <v>0</v>
      </c>
      <c r="E14" s="11">
        <f>SUMPRODUCT((Original!$C$3:$C$58='by Product &amp; AIM Area'!E$1)*(Original!$O$2:$AW$2='by Product &amp; AIM Area'!$B14)*(Original!$O$3:$AW$58))
/
SUMPRODUCT((Original!$C$3:$C$58='by Product &amp; AIM Area'!E$1)*(Original!$J$2:$AW$2='by Product &amp; AIM Area'!$B14))</f>
        <v>2</v>
      </c>
      <c r="F14" s="11" t="e">
        <f>SUMPRODUCT((Original!$C$3:$C$58='by Product &amp; AIM Area'!F$1)*(Original!$O$2:$AW$2='by Product &amp; AIM Area'!$B14)*(Original!$O$3:$AW$58))
/
SUMPRODUCT((Original!$C$3:$C$58='by Product &amp; AIM Area'!F$1)*(Original!$J$2:$AW$2='by Product &amp; AIM Area'!$B14))</f>
        <v>#DIV/0!</v>
      </c>
      <c r="G14" s="11" t="e">
        <f>SUMPRODUCT((Original!$C$3:$C$58='by Product &amp; AIM Area'!G$1)*(Original!$O$2:$AW$2='by Product &amp; AIM Area'!$B14)*(Original!$O$3:$AW$58))
/
SUMPRODUCT((Original!$C$3:$C$58='by Product &amp; AIM Area'!G$1)*(Original!$J$2:$AW$2='by Product &amp; AIM Area'!$B14))</f>
        <v>#DIV/0!</v>
      </c>
      <c r="H14" s="11" t="e">
        <f>SUMPRODUCT((Original!$C$3:$C$58='by Product &amp; AIM Area'!H$1)*(Original!$O$2:$AW$2='by Product &amp; AIM Area'!$B14)*(Original!$O$3:$AW$58))
/
SUMPRODUCT((Original!$C$3:$C$58='by Product &amp; AIM Area'!H$1)*(Original!$J$2:$AW$2='by Product &amp; AIM Area'!$B14))</f>
        <v>#DIV/0!</v>
      </c>
      <c r="I14" s="11">
        <f>SUMPRODUCT((Original!$C$3:$C$58='by Product &amp; AIM Area'!I$1)*(Original!$O$2:$AW$2='by Product &amp; AIM Area'!$B14)*(Original!$O$3:$AW$58))
/
SUMPRODUCT((Original!$C$3:$C$58='by Product &amp; AIM Area'!I$1)*(Original!$J$2:$AW$2='by Product &amp; AIM Area'!$B14))</f>
        <v>0.5</v>
      </c>
      <c r="J14" s="11">
        <f>SUMPRODUCT((Original!$C$3:$C$58='by Product &amp; AIM Area'!J$1)*(Original!$O$2:$AW$2='by Product &amp; AIM Area'!$B14)*(Original!$O$3:$AW$58))
/
SUMPRODUCT((Original!$C$3:$C$58='by Product &amp; AIM Area'!J$1)*(Original!$J$2:$AW$2='by Product &amp; AIM Area'!$B14))</f>
        <v>1</v>
      </c>
      <c r="K14" s="11" t="e">
        <f>SUMPRODUCT((Original!$C$3:$C$58='by Product &amp; AIM Area'!K$1)*(Original!$O$2:$AW$2='by Product &amp; AIM Area'!$B14)*(Original!$O$3:$AW$58))
/
SUMPRODUCT((Original!$C$3:$C$58='by Product &amp; AIM Area'!K$1)*(Original!$J$2:$AW$2='by Product &amp; AIM Area'!$B14))</f>
        <v>#DIV/0!</v>
      </c>
      <c r="L14" s="11" t="e">
        <f>SUMPRODUCT((Original!$C$3:$C$58='by Product &amp; AIM Area'!L$1)*(Original!$O$2:$AW$2='by Product &amp; AIM Area'!$B14)*(Original!$O$3:$AW$58))
/
SUMPRODUCT((Original!$C$3:$C$58='by Product &amp; AIM Area'!L$1)*(Original!$J$2:$AW$2='by Product &amp; AIM Area'!$B14))</f>
        <v>#DIV/0!</v>
      </c>
      <c r="M14" s="11">
        <f>SUMPRODUCT((Original!$C$3:$C$58='by Product &amp; AIM Area'!M$1)*(Original!$O$2:$AW$2='by Product &amp; AIM Area'!$B14)*(Original!$O$3:$AW$58))
/
SUMPRODUCT((Original!$C$3:$C$58='by Product &amp; AIM Area'!M$1)*(Original!$J$2:$AW$2='by Product &amp; AIM Area'!$B14))</f>
        <v>0</v>
      </c>
      <c r="N14" s="11" t="e">
        <f>SUMPRODUCT((Original!$C$3:$C$58='by Product &amp; AIM Area'!N$1)*(Original!$O$2:$AW$2='by Product &amp; AIM Area'!$B14)*(Original!$O$3:$AW$58))
/
SUMPRODUCT((Original!$C$3:$C$58='by Product &amp; AIM Area'!N$1)*(Original!$J$2:$AW$2='by Product &amp; AIM Area'!$B14))</f>
        <v>#DIV/0!</v>
      </c>
      <c r="O14" s="11">
        <f>SUMPRODUCT((Original!$C$3:$C$58='by Product &amp; AIM Area'!O$1)*(Original!$O$2:$AW$2='by Product &amp; AIM Area'!$B14)*(Original!$O$3:$AW$58))
/
SUMPRODUCT((Original!$C$3:$C$58='by Product &amp; AIM Area'!O$1)*(Original!$J$2:$AW$2='by Product &amp; AIM Area'!$B14))</f>
        <v>3</v>
      </c>
      <c r="P14" s="11" t="e">
        <f>SUMPRODUCT((Original!$C$3:$C$58='by Product &amp; AIM Area'!P$1)*(Original!$O$2:$AW$2='by Product &amp; AIM Area'!$B14)*(Original!$O$3:$AW$58))
/
SUMPRODUCT((Original!$C$3:$C$58='by Product &amp; AIM Area'!P$1)*(Original!$J$2:$AW$2='by Product &amp; AIM Area'!$B14))</f>
        <v>#DIV/0!</v>
      </c>
      <c r="Q14" s="11">
        <f>SUMPRODUCT((Original!$C$3:$C$58='by Product &amp; AIM Area'!Q$1)*(Original!$O$2:$AW$2='by Product &amp; AIM Area'!$B14)*(Original!$O$3:$AW$58))
/
SUMPRODUCT((Original!$C$3:$C$58='by Product &amp; AIM Area'!Q$1)*(Original!$J$2:$AW$2='by Product &amp; AIM Area'!$B14))</f>
        <v>2</v>
      </c>
      <c r="R14" s="11">
        <f>SUMPRODUCT((Original!$C$3:$C$58='by Product &amp; AIM Area'!R$1)*(Original!$O$2:$AW$2='by Product &amp; AIM Area'!$B14)*(Original!$O$3:$AW$58))
/
SUMPRODUCT((Original!$C$3:$C$58='by Product &amp; AIM Area'!R$1)*(Original!$J$2:$AW$2='by Product &amp; AIM Area'!$B14))</f>
        <v>2.625</v>
      </c>
      <c r="S14" s="11">
        <f>SUMPRODUCT((Original!$C$3:$C$58='by Product &amp; AIM Area'!S$1)*(Original!$O$2:$AW$2='by Product &amp; AIM Area'!$B14)*(Original!$O$3:$AW$58))
/
SUMPRODUCT((Original!$C$3:$C$58='by Product &amp; AIM Area'!S$1)*(Original!$J$2:$AW$2='by Product &amp; AIM Area'!$B14))</f>
        <v>1.75</v>
      </c>
      <c r="T14" s="11">
        <f>SUMPRODUCT((Original!$C$3:$C$58='by Product &amp; AIM Area'!T$1)*(Original!$O$2:$AW$2='by Product &amp; AIM Area'!$B14)*(Original!$O$3:$AW$58))
/
SUMPRODUCT((Original!$C$3:$C$58='by Product &amp; AIM Area'!T$1)*(Original!$J$2:$AW$2='by Product &amp; AIM Area'!$B14))</f>
        <v>2.25</v>
      </c>
      <c r="U14" s="11" t="e">
        <f>SUMPRODUCT((Original!$C$3:$C$58='by Product &amp; AIM Area'!U$1)*(Original!$O$2:$AW$2='by Product &amp; AIM Area'!$B14)*(Original!$O$3:$AW$58))
/
SUMPRODUCT((Original!$C$3:$C$58='by Product &amp; AIM Area'!U$1)*(Original!$J$2:$AW$2='by Product &amp; AIM Area'!$B14))</f>
        <v>#DIV/0!</v>
      </c>
      <c r="V14" s="11">
        <f>SUMPRODUCT((Original!$C$3:$C$58='by Product &amp; AIM Area'!V$1)*(Original!$O$2:$AW$2='by Product &amp; AIM Area'!$B14)*(Original!$O$3:$AW$58))
/
SUMPRODUCT((Original!$C$3:$C$58='by Product &amp; AIM Area'!V$1)*(Original!$J$2:$AW$2='by Product &amp; AIM Area'!$B14))</f>
        <v>0</v>
      </c>
      <c r="W14" s="11">
        <f>SUMPRODUCT((Original!$C$3:$C$58='by Product &amp; AIM Area'!W$1)*(Original!$O$2:$AW$2='by Product &amp; AIM Area'!$B14)*(Original!$O$3:$AW$58))
/
SUMPRODUCT((Original!$C$3:$C$58='by Product &amp; AIM Area'!W$1)*(Original!$J$2:$AW$2='by Product &amp; AIM Area'!$B14))</f>
        <v>3</v>
      </c>
      <c r="X14" s="11" t="e">
        <f>SUMPRODUCT((Original!$C$3:$C$58='by Product &amp; AIM Area'!X$1)*(Original!$O$2:$AW$2='by Product &amp; AIM Area'!$B14)*(Original!$O$3:$AW$58))
/
SUMPRODUCT((Original!$C$3:$C$58='by Product &amp; AIM Area'!X$1)*(Original!$J$2:$AW$2='by Product &amp; AIM Area'!$B14))</f>
        <v>#DIV/0!</v>
      </c>
      <c r="Y14" s="11" t="e">
        <f>SUMPRODUCT((Original!$C$3:$C$58='by Product &amp; AIM Area'!Y$1)*(Original!$O$2:$AW$2='by Product &amp; AIM Area'!$B14)*(Original!$O$3:$AW$58))
/
SUMPRODUCT((Original!$C$3:$C$58='by Product &amp; AIM Area'!Y$1)*(Original!$J$2:$AW$2='by Product &amp; AIM Area'!$B14))</f>
        <v>#DIV/0!</v>
      </c>
      <c r="Z14" s="11">
        <f>SUMPRODUCT((Original!$C$3:$C$58='by Product &amp; AIM Area'!Z$1)*(Original!$O$2:$AW$2='by Product &amp; AIM Area'!$B14)*(Original!$O$3:$AW$58))
/
SUMPRODUCT((Original!$C$3:$C$58='by Product &amp; AIM Area'!Z$1)*(Original!$J$2:$AW$2='by Product &amp; AIM Area'!$B14))</f>
        <v>0</v>
      </c>
      <c r="AA14" s="11">
        <f>SUMPRODUCT((Original!$C$3:$C$58='by Product &amp; AIM Area'!AA$1)*(Original!$O$2:$AW$2='by Product &amp; AIM Area'!$B14)*(Original!$O$3:$AW$58))
/
SUMPRODUCT((Original!$C$3:$C$58='by Product &amp; AIM Area'!AA$1)*(Original!$J$2:$AW$2='by Product &amp; AIM Area'!$B14))</f>
        <v>2</v>
      </c>
      <c r="AB14" s="11">
        <f>SUMPRODUCT((Original!$C$3:$C$58='by Product &amp; AIM Area'!AB$1)*(Original!$O$2:$AW$2='by Product &amp; AIM Area'!$B14)*(Original!$O$3:$AW$58))
/
SUMPRODUCT((Original!$C$3:$C$58='by Product &amp; AIM Area'!AB$1)*(Original!$J$2:$AW$2='by Product &amp; AIM Area'!$B14))</f>
        <v>1</v>
      </c>
      <c r="AC14" s="11">
        <f>SUMPRODUCT((Original!$C$3:$C$58='by Product &amp; AIM Area'!AC$1)*(Original!$O$2:$AW$2='by Product &amp; AIM Area'!$B14)*(Original!$O$3:$AW$58))
/
SUMPRODUCT((Original!$C$3:$C$58='by Product &amp; AIM Area'!AC$1)*(Original!$J$2:$AW$2='by Product &amp; AIM Area'!$B14))</f>
        <v>1.8</v>
      </c>
      <c r="AD14" s="11" t="e">
        <f t="shared" si="0"/>
        <v>#DIV/0!</v>
      </c>
    </row>
    <row r="15" spans="1:30">
      <c r="A15" s="11" t="s">
        <v>338</v>
      </c>
      <c r="B15" s="11" t="s">
        <v>35</v>
      </c>
      <c r="C15" s="11">
        <f>SUMPRODUCT((Original!$C$3:$C$58='by Product &amp; AIM Area'!C$1)*(Original!$O$2:$AW$2='by Product &amp; AIM Area'!$B15)*(Original!$O$3:$AW$58))
/
SUMPRODUCT((Original!$C$3:$C$58='by Product &amp; AIM Area'!C$1)*(Original!$J$2:$AW$2='by Product &amp; AIM Area'!$B15))</f>
        <v>3</v>
      </c>
      <c r="D15" s="11">
        <f>SUMPRODUCT((Original!$C$3:$C$58='by Product &amp; AIM Area'!D$1)*(Original!$O$2:$AW$2='by Product &amp; AIM Area'!$B15)*(Original!$O$3:$AW$58))
/
SUMPRODUCT((Original!$C$3:$C$58='by Product &amp; AIM Area'!D$1)*(Original!$J$2:$AW$2='by Product &amp; AIM Area'!$B15))</f>
        <v>1</v>
      </c>
      <c r="E15" s="11">
        <f>SUMPRODUCT((Original!$C$3:$C$58='by Product &amp; AIM Area'!E$1)*(Original!$O$2:$AW$2='by Product &amp; AIM Area'!$B15)*(Original!$O$3:$AW$58))
/
SUMPRODUCT((Original!$C$3:$C$58='by Product &amp; AIM Area'!E$1)*(Original!$J$2:$AW$2='by Product &amp; AIM Area'!$B15))</f>
        <v>2</v>
      </c>
      <c r="F15" s="11" t="e">
        <f>SUMPRODUCT((Original!$C$3:$C$58='by Product &amp; AIM Area'!F$1)*(Original!$O$2:$AW$2='by Product &amp; AIM Area'!$B15)*(Original!$O$3:$AW$58))
/
SUMPRODUCT((Original!$C$3:$C$58='by Product &amp; AIM Area'!F$1)*(Original!$J$2:$AW$2='by Product &amp; AIM Area'!$B15))</f>
        <v>#DIV/0!</v>
      </c>
      <c r="G15" s="11" t="e">
        <f>SUMPRODUCT((Original!$C$3:$C$58='by Product &amp; AIM Area'!G$1)*(Original!$O$2:$AW$2='by Product &amp; AIM Area'!$B15)*(Original!$O$3:$AW$58))
/
SUMPRODUCT((Original!$C$3:$C$58='by Product &amp; AIM Area'!G$1)*(Original!$J$2:$AW$2='by Product &amp; AIM Area'!$B15))</f>
        <v>#DIV/0!</v>
      </c>
      <c r="H15" s="11" t="e">
        <f>SUMPRODUCT((Original!$C$3:$C$58='by Product &amp; AIM Area'!H$1)*(Original!$O$2:$AW$2='by Product &amp; AIM Area'!$B15)*(Original!$O$3:$AW$58))
/
SUMPRODUCT((Original!$C$3:$C$58='by Product &amp; AIM Area'!H$1)*(Original!$J$2:$AW$2='by Product &amp; AIM Area'!$B15))</f>
        <v>#DIV/0!</v>
      </c>
      <c r="I15" s="11">
        <f>SUMPRODUCT((Original!$C$3:$C$58='by Product &amp; AIM Area'!I$1)*(Original!$O$2:$AW$2='by Product &amp; AIM Area'!$B15)*(Original!$O$3:$AW$58))
/
SUMPRODUCT((Original!$C$3:$C$58='by Product &amp; AIM Area'!I$1)*(Original!$J$2:$AW$2='by Product &amp; AIM Area'!$B15))</f>
        <v>1</v>
      </c>
      <c r="J15" s="11">
        <f>SUMPRODUCT((Original!$C$3:$C$58='by Product &amp; AIM Area'!J$1)*(Original!$O$2:$AW$2='by Product &amp; AIM Area'!$B15)*(Original!$O$3:$AW$58))
/
SUMPRODUCT((Original!$C$3:$C$58='by Product &amp; AIM Area'!J$1)*(Original!$J$2:$AW$2='by Product &amp; AIM Area'!$B15))</f>
        <v>1</v>
      </c>
      <c r="K15" s="11" t="e">
        <f>SUMPRODUCT((Original!$C$3:$C$58='by Product &amp; AIM Area'!K$1)*(Original!$O$2:$AW$2='by Product &amp; AIM Area'!$B15)*(Original!$O$3:$AW$58))
/
SUMPRODUCT((Original!$C$3:$C$58='by Product &amp; AIM Area'!K$1)*(Original!$J$2:$AW$2='by Product &amp; AIM Area'!$B15))</f>
        <v>#DIV/0!</v>
      </c>
      <c r="L15" s="11" t="e">
        <f>SUMPRODUCT((Original!$C$3:$C$58='by Product &amp; AIM Area'!L$1)*(Original!$O$2:$AW$2='by Product &amp; AIM Area'!$B15)*(Original!$O$3:$AW$58))
/
SUMPRODUCT((Original!$C$3:$C$58='by Product &amp; AIM Area'!L$1)*(Original!$J$2:$AW$2='by Product &amp; AIM Area'!$B15))</f>
        <v>#DIV/0!</v>
      </c>
      <c r="M15" s="11">
        <f>SUMPRODUCT((Original!$C$3:$C$58='by Product &amp; AIM Area'!M$1)*(Original!$O$2:$AW$2='by Product &amp; AIM Area'!$B15)*(Original!$O$3:$AW$58))
/
SUMPRODUCT((Original!$C$3:$C$58='by Product &amp; AIM Area'!M$1)*(Original!$J$2:$AW$2='by Product &amp; AIM Area'!$B15))</f>
        <v>1</v>
      </c>
      <c r="N15" s="11" t="e">
        <f>SUMPRODUCT((Original!$C$3:$C$58='by Product &amp; AIM Area'!N$1)*(Original!$O$2:$AW$2='by Product &amp; AIM Area'!$B15)*(Original!$O$3:$AW$58))
/
SUMPRODUCT((Original!$C$3:$C$58='by Product &amp; AIM Area'!N$1)*(Original!$J$2:$AW$2='by Product &amp; AIM Area'!$B15))</f>
        <v>#DIV/0!</v>
      </c>
      <c r="O15" s="11">
        <f>SUMPRODUCT((Original!$C$3:$C$58='by Product &amp; AIM Area'!O$1)*(Original!$O$2:$AW$2='by Product &amp; AIM Area'!$B15)*(Original!$O$3:$AW$58))
/
SUMPRODUCT((Original!$C$3:$C$58='by Product &amp; AIM Area'!O$1)*(Original!$J$2:$AW$2='by Product &amp; AIM Area'!$B15))</f>
        <v>3</v>
      </c>
      <c r="P15" s="11" t="e">
        <f>SUMPRODUCT((Original!$C$3:$C$58='by Product &amp; AIM Area'!P$1)*(Original!$O$2:$AW$2='by Product &amp; AIM Area'!$B15)*(Original!$O$3:$AW$58))
/
SUMPRODUCT((Original!$C$3:$C$58='by Product &amp; AIM Area'!P$1)*(Original!$J$2:$AW$2='by Product &amp; AIM Area'!$B15))</f>
        <v>#DIV/0!</v>
      </c>
      <c r="Q15" s="11">
        <f>SUMPRODUCT((Original!$C$3:$C$58='by Product &amp; AIM Area'!Q$1)*(Original!$O$2:$AW$2='by Product &amp; AIM Area'!$B15)*(Original!$O$3:$AW$58))
/
SUMPRODUCT((Original!$C$3:$C$58='by Product &amp; AIM Area'!Q$1)*(Original!$J$2:$AW$2='by Product &amp; AIM Area'!$B15))</f>
        <v>3</v>
      </c>
      <c r="R15" s="11">
        <f>SUMPRODUCT((Original!$C$3:$C$58='by Product &amp; AIM Area'!R$1)*(Original!$O$2:$AW$2='by Product &amp; AIM Area'!$B15)*(Original!$O$3:$AW$58))
/
SUMPRODUCT((Original!$C$3:$C$58='by Product &amp; AIM Area'!R$1)*(Original!$J$2:$AW$2='by Product &amp; AIM Area'!$B15))</f>
        <v>2.125</v>
      </c>
      <c r="S15" s="11">
        <f>SUMPRODUCT((Original!$C$3:$C$58='by Product &amp; AIM Area'!S$1)*(Original!$O$2:$AW$2='by Product &amp; AIM Area'!$B15)*(Original!$O$3:$AW$58))
/
SUMPRODUCT((Original!$C$3:$C$58='by Product &amp; AIM Area'!S$1)*(Original!$J$2:$AW$2='by Product &amp; AIM Area'!$B15))</f>
        <v>2</v>
      </c>
      <c r="T15" s="11">
        <f>SUMPRODUCT((Original!$C$3:$C$58='by Product &amp; AIM Area'!T$1)*(Original!$O$2:$AW$2='by Product &amp; AIM Area'!$B15)*(Original!$O$3:$AW$58))
/
SUMPRODUCT((Original!$C$3:$C$58='by Product &amp; AIM Area'!T$1)*(Original!$J$2:$AW$2='by Product &amp; AIM Area'!$B15))</f>
        <v>1.875</v>
      </c>
      <c r="U15" s="11" t="e">
        <f>SUMPRODUCT((Original!$C$3:$C$58='by Product &amp; AIM Area'!U$1)*(Original!$O$2:$AW$2='by Product &amp; AIM Area'!$B15)*(Original!$O$3:$AW$58))
/
SUMPRODUCT((Original!$C$3:$C$58='by Product &amp; AIM Area'!U$1)*(Original!$J$2:$AW$2='by Product &amp; AIM Area'!$B15))</f>
        <v>#DIV/0!</v>
      </c>
      <c r="V15" s="11">
        <f>SUMPRODUCT((Original!$C$3:$C$58='by Product &amp; AIM Area'!V$1)*(Original!$O$2:$AW$2='by Product &amp; AIM Area'!$B15)*(Original!$O$3:$AW$58))
/
SUMPRODUCT((Original!$C$3:$C$58='by Product &amp; AIM Area'!V$1)*(Original!$J$2:$AW$2='by Product &amp; AIM Area'!$B15))</f>
        <v>2</v>
      </c>
      <c r="W15" s="11">
        <f>SUMPRODUCT((Original!$C$3:$C$58='by Product &amp; AIM Area'!W$1)*(Original!$O$2:$AW$2='by Product &amp; AIM Area'!$B15)*(Original!$O$3:$AW$58))
/
SUMPRODUCT((Original!$C$3:$C$58='by Product &amp; AIM Area'!W$1)*(Original!$J$2:$AW$2='by Product &amp; AIM Area'!$B15))</f>
        <v>0</v>
      </c>
      <c r="X15" s="11" t="e">
        <f>SUMPRODUCT((Original!$C$3:$C$58='by Product &amp; AIM Area'!X$1)*(Original!$O$2:$AW$2='by Product &amp; AIM Area'!$B15)*(Original!$O$3:$AW$58))
/
SUMPRODUCT((Original!$C$3:$C$58='by Product &amp; AIM Area'!X$1)*(Original!$J$2:$AW$2='by Product &amp; AIM Area'!$B15))</f>
        <v>#DIV/0!</v>
      </c>
      <c r="Y15" s="11" t="e">
        <f>SUMPRODUCT((Original!$C$3:$C$58='by Product &amp; AIM Area'!Y$1)*(Original!$O$2:$AW$2='by Product &amp; AIM Area'!$B15)*(Original!$O$3:$AW$58))
/
SUMPRODUCT((Original!$C$3:$C$58='by Product &amp; AIM Area'!Y$1)*(Original!$J$2:$AW$2='by Product &amp; AIM Area'!$B15))</f>
        <v>#DIV/0!</v>
      </c>
      <c r="Z15" s="11">
        <f>SUMPRODUCT((Original!$C$3:$C$58='by Product &amp; AIM Area'!Z$1)*(Original!$O$2:$AW$2='by Product &amp; AIM Area'!$B15)*(Original!$O$3:$AW$58))
/
SUMPRODUCT((Original!$C$3:$C$58='by Product &amp; AIM Area'!Z$1)*(Original!$J$2:$AW$2='by Product &amp; AIM Area'!$B15))</f>
        <v>1</v>
      </c>
      <c r="AA15" s="11">
        <f>SUMPRODUCT((Original!$C$3:$C$58='by Product &amp; AIM Area'!AA$1)*(Original!$O$2:$AW$2='by Product &amp; AIM Area'!$B15)*(Original!$O$3:$AW$58))
/
SUMPRODUCT((Original!$C$3:$C$58='by Product &amp; AIM Area'!AA$1)*(Original!$J$2:$AW$2='by Product &amp; AIM Area'!$B15))</f>
        <v>3</v>
      </c>
      <c r="AB15" s="11">
        <f>SUMPRODUCT((Original!$C$3:$C$58='by Product &amp; AIM Area'!AB$1)*(Original!$O$2:$AW$2='by Product &amp; AIM Area'!$B15)*(Original!$O$3:$AW$58))
/
SUMPRODUCT((Original!$C$3:$C$58='by Product &amp; AIM Area'!AB$1)*(Original!$J$2:$AW$2='by Product &amp; AIM Area'!$B15))</f>
        <v>1</v>
      </c>
      <c r="AC15" s="11">
        <f>SUMPRODUCT((Original!$C$3:$C$58='by Product &amp; AIM Area'!AC$1)*(Original!$O$2:$AW$2='by Product &amp; AIM Area'!$B15)*(Original!$O$3:$AW$58))
/
SUMPRODUCT((Original!$C$3:$C$58='by Product &amp; AIM Area'!AC$1)*(Original!$J$2:$AW$2='by Product &amp; AIM Area'!$B15))</f>
        <v>1</v>
      </c>
      <c r="AD15" s="11" t="e">
        <f t="shared" si="0"/>
        <v>#DIV/0!</v>
      </c>
    </row>
    <row r="16" spans="1:30" ht="30">
      <c r="A16" s="11" t="s">
        <v>3</v>
      </c>
      <c r="B16" s="11" t="s">
        <v>36</v>
      </c>
      <c r="C16" s="11">
        <f>SUMPRODUCT((Original!$C$3:$C$58='by Product &amp; AIM Area'!C$1)*(Original!$O$2:$AW$2='by Product &amp; AIM Area'!$B16)*(Original!$O$3:$AW$58))
/
SUMPRODUCT((Original!$C$3:$C$58='by Product &amp; AIM Area'!C$1)*(Original!$J$2:$AW$2='by Product &amp; AIM Area'!$B16))</f>
        <v>3</v>
      </c>
      <c r="D16" s="11">
        <f>SUMPRODUCT((Original!$C$3:$C$58='by Product &amp; AIM Area'!D$1)*(Original!$O$2:$AW$2='by Product &amp; AIM Area'!$B16)*(Original!$O$3:$AW$58))
/
SUMPRODUCT((Original!$C$3:$C$58='by Product &amp; AIM Area'!D$1)*(Original!$J$2:$AW$2='by Product &amp; AIM Area'!$B16))</f>
        <v>1</v>
      </c>
      <c r="E16" s="11">
        <f>SUMPRODUCT((Original!$C$3:$C$58='by Product &amp; AIM Area'!E$1)*(Original!$O$2:$AW$2='by Product &amp; AIM Area'!$B16)*(Original!$O$3:$AW$58))
/
SUMPRODUCT((Original!$C$3:$C$58='by Product &amp; AIM Area'!E$1)*(Original!$J$2:$AW$2='by Product &amp; AIM Area'!$B16))</f>
        <v>2</v>
      </c>
      <c r="F16" s="11" t="e">
        <f>SUMPRODUCT((Original!$C$3:$C$58='by Product &amp; AIM Area'!F$1)*(Original!$O$2:$AW$2='by Product &amp; AIM Area'!$B16)*(Original!$O$3:$AW$58))
/
SUMPRODUCT((Original!$C$3:$C$58='by Product &amp; AIM Area'!F$1)*(Original!$J$2:$AW$2='by Product &amp; AIM Area'!$B16))</f>
        <v>#DIV/0!</v>
      </c>
      <c r="G16" s="11" t="e">
        <f>SUMPRODUCT((Original!$C$3:$C$58='by Product &amp; AIM Area'!G$1)*(Original!$O$2:$AW$2='by Product &amp; AIM Area'!$B16)*(Original!$O$3:$AW$58))
/
SUMPRODUCT((Original!$C$3:$C$58='by Product &amp; AIM Area'!G$1)*(Original!$J$2:$AW$2='by Product &amp; AIM Area'!$B16))</f>
        <v>#DIV/0!</v>
      </c>
      <c r="H16" s="11" t="e">
        <f>SUMPRODUCT((Original!$C$3:$C$58='by Product &amp; AIM Area'!H$1)*(Original!$O$2:$AW$2='by Product &amp; AIM Area'!$B16)*(Original!$O$3:$AW$58))
/
SUMPRODUCT((Original!$C$3:$C$58='by Product &amp; AIM Area'!H$1)*(Original!$J$2:$AW$2='by Product &amp; AIM Area'!$B16))</f>
        <v>#DIV/0!</v>
      </c>
      <c r="I16" s="11">
        <f>SUMPRODUCT((Original!$C$3:$C$58='by Product &amp; AIM Area'!I$1)*(Original!$O$2:$AW$2='by Product &amp; AIM Area'!$B16)*(Original!$O$3:$AW$58))
/
SUMPRODUCT((Original!$C$3:$C$58='by Product &amp; AIM Area'!I$1)*(Original!$J$2:$AW$2='by Product &amp; AIM Area'!$B16))</f>
        <v>1</v>
      </c>
      <c r="J16" s="11">
        <f>SUMPRODUCT((Original!$C$3:$C$58='by Product &amp; AIM Area'!J$1)*(Original!$O$2:$AW$2='by Product &amp; AIM Area'!$B16)*(Original!$O$3:$AW$58))
/
SUMPRODUCT((Original!$C$3:$C$58='by Product &amp; AIM Area'!J$1)*(Original!$J$2:$AW$2='by Product &amp; AIM Area'!$B16))</f>
        <v>1</v>
      </c>
      <c r="K16" s="11" t="e">
        <f>SUMPRODUCT((Original!$C$3:$C$58='by Product &amp; AIM Area'!K$1)*(Original!$O$2:$AW$2='by Product &amp; AIM Area'!$B16)*(Original!$O$3:$AW$58))
/
SUMPRODUCT((Original!$C$3:$C$58='by Product &amp; AIM Area'!K$1)*(Original!$J$2:$AW$2='by Product &amp; AIM Area'!$B16))</f>
        <v>#DIV/0!</v>
      </c>
      <c r="L16" s="11" t="e">
        <f>SUMPRODUCT((Original!$C$3:$C$58='by Product &amp; AIM Area'!L$1)*(Original!$O$2:$AW$2='by Product &amp; AIM Area'!$B16)*(Original!$O$3:$AW$58))
/
SUMPRODUCT((Original!$C$3:$C$58='by Product &amp; AIM Area'!L$1)*(Original!$J$2:$AW$2='by Product &amp; AIM Area'!$B16))</f>
        <v>#DIV/0!</v>
      </c>
      <c r="M16" s="11">
        <f>SUMPRODUCT((Original!$C$3:$C$58='by Product &amp; AIM Area'!M$1)*(Original!$O$2:$AW$2='by Product &amp; AIM Area'!$B16)*(Original!$O$3:$AW$58))
/
SUMPRODUCT((Original!$C$3:$C$58='by Product &amp; AIM Area'!M$1)*(Original!$J$2:$AW$2='by Product &amp; AIM Area'!$B16))</f>
        <v>3</v>
      </c>
      <c r="N16" s="11" t="e">
        <f>SUMPRODUCT((Original!$C$3:$C$58='by Product &amp; AIM Area'!N$1)*(Original!$O$2:$AW$2='by Product &amp; AIM Area'!$B16)*(Original!$O$3:$AW$58))
/
SUMPRODUCT((Original!$C$3:$C$58='by Product &amp; AIM Area'!N$1)*(Original!$J$2:$AW$2='by Product &amp; AIM Area'!$B16))</f>
        <v>#DIV/0!</v>
      </c>
      <c r="O16" s="11">
        <f>SUMPRODUCT((Original!$C$3:$C$58='by Product &amp; AIM Area'!O$1)*(Original!$O$2:$AW$2='by Product &amp; AIM Area'!$B16)*(Original!$O$3:$AW$58))
/
SUMPRODUCT((Original!$C$3:$C$58='by Product &amp; AIM Area'!O$1)*(Original!$J$2:$AW$2='by Product &amp; AIM Area'!$B16))</f>
        <v>1</v>
      </c>
      <c r="P16" s="11" t="e">
        <f>SUMPRODUCT((Original!$C$3:$C$58='by Product &amp; AIM Area'!P$1)*(Original!$O$2:$AW$2='by Product &amp; AIM Area'!$B16)*(Original!$O$3:$AW$58))
/
SUMPRODUCT((Original!$C$3:$C$58='by Product &amp; AIM Area'!P$1)*(Original!$J$2:$AW$2='by Product &amp; AIM Area'!$B16))</f>
        <v>#DIV/0!</v>
      </c>
      <c r="Q16" s="11">
        <f>SUMPRODUCT((Original!$C$3:$C$58='by Product &amp; AIM Area'!Q$1)*(Original!$O$2:$AW$2='by Product &amp; AIM Area'!$B16)*(Original!$O$3:$AW$58))
/
SUMPRODUCT((Original!$C$3:$C$58='by Product &amp; AIM Area'!Q$1)*(Original!$J$2:$AW$2='by Product &amp; AIM Area'!$B16))</f>
        <v>3</v>
      </c>
      <c r="R16" s="11">
        <f>SUMPRODUCT((Original!$C$3:$C$58='by Product &amp; AIM Area'!R$1)*(Original!$O$2:$AW$2='by Product &amp; AIM Area'!$B16)*(Original!$O$3:$AW$58))
/
SUMPRODUCT((Original!$C$3:$C$58='by Product &amp; AIM Area'!R$1)*(Original!$J$2:$AW$2='by Product &amp; AIM Area'!$B16))</f>
        <v>2</v>
      </c>
      <c r="S16" s="11">
        <f>SUMPRODUCT((Original!$C$3:$C$58='by Product &amp; AIM Area'!S$1)*(Original!$O$2:$AW$2='by Product &amp; AIM Area'!$B16)*(Original!$O$3:$AW$58))
/
SUMPRODUCT((Original!$C$3:$C$58='by Product &amp; AIM Area'!S$1)*(Original!$J$2:$AW$2='by Product &amp; AIM Area'!$B16))</f>
        <v>1.625</v>
      </c>
      <c r="T16" s="11">
        <f>SUMPRODUCT((Original!$C$3:$C$58='by Product &amp; AIM Area'!T$1)*(Original!$O$2:$AW$2='by Product &amp; AIM Area'!$B16)*(Original!$O$3:$AW$58))
/
SUMPRODUCT((Original!$C$3:$C$58='by Product &amp; AIM Area'!T$1)*(Original!$J$2:$AW$2='by Product &amp; AIM Area'!$B16))</f>
        <v>1</v>
      </c>
      <c r="U16" s="11" t="e">
        <f>SUMPRODUCT((Original!$C$3:$C$58='by Product &amp; AIM Area'!U$1)*(Original!$O$2:$AW$2='by Product &amp; AIM Area'!$B16)*(Original!$O$3:$AW$58))
/
SUMPRODUCT((Original!$C$3:$C$58='by Product &amp; AIM Area'!U$1)*(Original!$J$2:$AW$2='by Product &amp; AIM Area'!$B16))</f>
        <v>#DIV/0!</v>
      </c>
      <c r="V16" s="11">
        <f>SUMPRODUCT((Original!$C$3:$C$58='by Product &amp; AIM Area'!V$1)*(Original!$O$2:$AW$2='by Product &amp; AIM Area'!$B16)*(Original!$O$3:$AW$58))
/
SUMPRODUCT((Original!$C$3:$C$58='by Product &amp; AIM Area'!V$1)*(Original!$J$2:$AW$2='by Product &amp; AIM Area'!$B16))</f>
        <v>3</v>
      </c>
      <c r="W16" s="11">
        <f>SUMPRODUCT((Original!$C$3:$C$58='by Product &amp; AIM Area'!W$1)*(Original!$O$2:$AW$2='by Product &amp; AIM Area'!$B16)*(Original!$O$3:$AW$58))
/
SUMPRODUCT((Original!$C$3:$C$58='by Product &amp; AIM Area'!W$1)*(Original!$J$2:$AW$2='by Product &amp; AIM Area'!$B16))</f>
        <v>1</v>
      </c>
      <c r="X16" s="11" t="e">
        <f>SUMPRODUCT((Original!$C$3:$C$58='by Product &amp; AIM Area'!X$1)*(Original!$O$2:$AW$2='by Product &amp; AIM Area'!$B16)*(Original!$O$3:$AW$58))
/
SUMPRODUCT((Original!$C$3:$C$58='by Product &amp; AIM Area'!X$1)*(Original!$J$2:$AW$2='by Product &amp; AIM Area'!$B16))</f>
        <v>#DIV/0!</v>
      </c>
      <c r="Y16" s="11" t="e">
        <f>SUMPRODUCT((Original!$C$3:$C$58='by Product &amp; AIM Area'!Y$1)*(Original!$O$2:$AW$2='by Product &amp; AIM Area'!$B16)*(Original!$O$3:$AW$58))
/
SUMPRODUCT((Original!$C$3:$C$58='by Product &amp; AIM Area'!Y$1)*(Original!$J$2:$AW$2='by Product &amp; AIM Area'!$B16))</f>
        <v>#DIV/0!</v>
      </c>
      <c r="Z16" s="11">
        <f>SUMPRODUCT((Original!$C$3:$C$58='by Product &amp; AIM Area'!Z$1)*(Original!$O$2:$AW$2='by Product &amp; AIM Area'!$B16)*(Original!$O$3:$AW$58))
/
SUMPRODUCT((Original!$C$3:$C$58='by Product &amp; AIM Area'!Z$1)*(Original!$J$2:$AW$2='by Product &amp; AIM Area'!$B16))</f>
        <v>1</v>
      </c>
      <c r="AA16" s="11">
        <f>SUMPRODUCT((Original!$C$3:$C$58='by Product &amp; AIM Area'!AA$1)*(Original!$O$2:$AW$2='by Product &amp; AIM Area'!$B16)*(Original!$O$3:$AW$58))
/
SUMPRODUCT((Original!$C$3:$C$58='by Product &amp; AIM Area'!AA$1)*(Original!$J$2:$AW$2='by Product &amp; AIM Area'!$B16))</f>
        <v>2</v>
      </c>
      <c r="AB16" s="11">
        <f>SUMPRODUCT((Original!$C$3:$C$58='by Product &amp; AIM Area'!AB$1)*(Original!$O$2:$AW$2='by Product &amp; AIM Area'!$B16)*(Original!$O$3:$AW$58))
/
SUMPRODUCT((Original!$C$3:$C$58='by Product &amp; AIM Area'!AB$1)*(Original!$J$2:$AW$2='by Product &amp; AIM Area'!$B16))</f>
        <v>1</v>
      </c>
      <c r="AC16" s="11">
        <f>SUMPRODUCT((Original!$C$3:$C$58='by Product &amp; AIM Area'!AC$1)*(Original!$O$2:$AW$2='by Product &amp; AIM Area'!$B16)*(Original!$O$3:$AW$58))
/
SUMPRODUCT((Original!$C$3:$C$58='by Product &amp; AIM Area'!AC$1)*(Original!$J$2:$AW$2='by Product &amp; AIM Area'!$B16))</f>
        <v>1.2</v>
      </c>
      <c r="AD16" s="11" t="e">
        <f t="shared" si="0"/>
        <v>#DIV/0!</v>
      </c>
    </row>
    <row r="17" spans="1:30" ht="30">
      <c r="A17" s="11" t="s">
        <v>3</v>
      </c>
      <c r="B17" s="11" t="s">
        <v>37</v>
      </c>
      <c r="C17" s="11">
        <f>SUMPRODUCT((Original!$C$3:$C$58='by Product &amp; AIM Area'!C$1)*(Original!$O$2:$AW$2='by Product &amp; AIM Area'!$B17)*(Original!$O$3:$AW$58))
/
SUMPRODUCT((Original!$C$3:$C$58='by Product &amp; AIM Area'!C$1)*(Original!$J$2:$AW$2='by Product &amp; AIM Area'!$B17))</f>
        <v>1</v>
      </c>
      <c r="D17" s="11">
        <f>SUMPRODUCT((Original!$C$3:$C$58='by Product &amp; AIM Area'!D$1)*(Original!$O$2:$AW$2='by Product &amp; AIM Area'!$B17)*(Original!$O$3:$AW$58))
/
SUMPRODUCT((Original!$C$3:$C$58='by Product &amp; AIM Area'!D$1)*(Original!$J$2:$AW$2='by Product &amp; AIM Area'!$B17))</f>
        <v>0</v>
      </c>
      <c r="E17" s="11">
        <f>SUMPRODUCT((Original!$C$3:$C$58='by Product &amp; AIM Area'!E$1)*(Original!$O$2:$AW$2='by Product &amp; AIM Area'!$B17)*(Original!$O$3:$AW$58))
/
SUMPRODUCT((Original!$C$3:$C$58='by Product &amp; AIM Area'!E$1)*(Original!$J$2:$AW$2='by Product &amp; AIM Area'!$B17))</f>
        <v>1</v>
      </c>
      <c r="F17" s="11" t="e">
        <f>SUMPRODUCT((Original!$C$3:$C$58='by Product &amp; AIM Area'!F$1)*(Original!$O$2:$AW$2='by Product &amp; AIM Area'!$B17)*(Original!$O$3:$AW$58))
/
SUMPRODUCT((Original!$C$3:$C$58='by Product &amp; AIM Area'!F$1)*(Original!$J$2:$AW$2='by Product &amp; AIM Area'!$B17))</f>
        <v>#DIV/0!</v>
      </c>
      <c r="G17" s="11" t="e">
        <f>SUMPRODUCT((Original!$C$3:$C$58='by Product &amp; AIM Area'!G$1)*(Original!$O$2:$AW$2='by Product &amp; AIM Area'!$B17)*(Original!$O$3:$AW$58))
/
SUMPRODUCT((Original!$C$3:$C$58='by Product &amp; AIM Area'!G$1)*(Original!$J$2:$AW$2='by Product &amp; AIM Area'!$B17))</f>
        <v>#DIV/0!</v>
      </c>
      <c r="H17" s="11" t="e">
        <f>SUMPRODUCT((Original!$C$3:$C$58='by Product &amp; AIM Area'!H$1)*(Original!$O$2:$AW$2='by Product &amp; AIM Area'!$B17)*(Original!$O$3:$AW$58))
/
SUMPRODUCT((Original!$C$3:$C$58='by Product &amp; AIM Area'!H$1)*(Original!$J$2:$AW$2='by Product &amp; AIM Area'!$B17))</f>
        <v>#DIV/0!</v>
      </c>
      <c r="I17" s="11">
        <f>SUMPRODUCT((Original!$C$3:$C$58='by Product &amp; AIM Area'!I$1)*(Original!$O$2:$AW$2='by Product &amp; AIM Area'!$B17)*(Original!$O$3:$AW$58))
/
SUMPRODUCT((Original!$C$3:$C$58='by Product &amp; AIM Area'!I$1)*(Original!$J$2:$AW$2='by Product &amp; AIM Area'!$B17))</f>
        <v>0.5</v>
      </c>
      <c r="J17" s="11">
        <f>SUMPRODUCT((Original!$C$3:$C$58='by Product &amp; AIM Area'!J$1)*(Original!$O$2:$AW$2='by Product &amp; AIM Area'!$B17)*(Original!$O$3:$AW$58))
/
SUMPRODUCT((Original!$C$3:$C$58='by Product &amp; AIM Area'!J$1)*(Original!$J$2:$AW$2='by Product &amp; AIM Area'!$B17))</f>
        <v>1</v>
      </c>
      <c r="K17" s="11" t="e">
        <f>SUMPRODUCT((Original!$C$3:$C$58='by Product &amp; AIM Area'!K$1)*(Original!$O$2:$AW$2='by Product &amp; AIM Area'!$B17)*(Original!$O$3:$AW$58))
/
SUMPRODUCT((Original!$C$3:$C$58='by Product &amp; AIM Area'!K$1)*(Original!$J$2:$AW$2='by Product &amp; AIM Area'!$B17))</f>
        <v>#DIV/0!</v>
      </c>
      <c r="L17" s="11" t="e">
        <f>SUMPRODUCT((Original!$C$3:$C$58='by Product &amp; AIM Area'!L$1)*(Original!$O$2:$AW$2='by Product &amp; AIM Area'!$B17)*(Original!$O$3:$AW$58))
/
SUMPRODUCT((Original!$C$3:$C$58='by Product &amp; AIM Area'!L$1)*(Original!$J$2:$AW$2='by Product &amp; AIM Area'!$B17))</f>
        <v>#DIV/0!</v>
      </c>
      <c r="M17" s="11">
        <f>SUMPRODUCT((Original!$C$3:$C$58='by Product &amp; AIM Area'!M$1)*(Original!$O$2:$AW$2='by Product &amp; AIM Area'!$B17)*(Original!$O$3:$AW$58))
/
SUMPRODUCT((Original!$C$3:$C$58='by Product &amp; AIM Area'!M$1)*(Original!$J$2:$AW$2='by Product &amp; AIM Area'!$B17))</f>
        <v>1</v>
      </c>
      <c r="N17" s="11" t="e">
        <f>SUMPRODUCT((Original!$C$3:$C$58='by Product &amp; AIM Area'!N$1)*(Original!$O$2:$AW$2='by Product &amp; AIM Area'!$B17)*(Original!$O$3:$AW$58))
/
SUMPRODUCT((Original!$C$3:$C$58='by Product &amp; AIM Area'!N$1)*(Original!$J$2:$AW$2='by Product &amp; AIM Area'!$B17))</f>
        <v>#DIV/0!</v>
      </c>
      <c r="O17" s="11">
        <f>SUMPRODUCT((Original!$C$3:$C$58='by Product &amp; AIM Area'!O$1)*(Original!$O$2:$AW$2='by Product &amp; AIM Area'!$B17)*(Original!$O$3:$AW$58))
/
SUMPRODUCT((Original!$C$3:$C$58='by Product &amp; AIM Area'!O$1)*(Original!$J$2:$AW$2='by Product &amp; AIM Area'!$B17))</f>
        <v>1</v>
      </c>
      <c r="P17" s="11" t="e">
        <f>SUMPRODUCT((Original!$C$3:$C$58='by Product &amp; AIM Area'!P$1)*(Original!$O$2:$AW$2='by Product &amp; AIM Area'!$B17)*(Original!$O$3:$AW$58))
/
SUMPRODUCT((Original!$C$3:$C$58='by Product &amp; AIM Area'!P$1)*(Original!$J$2:$AW$2='by Product &amp; AIM Area'!$B17))</f>
        <v>#DIV/0!</v>
      </c>
      <c r="Q17" s="11">
        <f>SUMPRODUCT((Original!$C$3:$C$58='by Product &amp; AIM Area'!Q$1)*(Original!$O$2:$AW$2='by Product &amp; AIM Area'!$B17)*(Original!$O$3:$AW$58))
/
SUMPRODUCT((Original!$C$3:$C$58='by Product &amp; AIM Area'!Q$1)*(Original!$J$2:$AW$2='by Product &amp; AIM Area'!$B17))</f>
        <v>1</v>
      </c>
      <c r="R17" s="11">
        <f>SUMPRODUCT((Original!$C$3:$C$58='by Product &amp; AIM Area'!R$1)*(Original!$O$2:$AW$2='by Product &amp; AIM Area'!$B17)*(Original!$O$3:$AW$58))
/
SUMPRODUCT((Original!$C$3:$C$58='by Product &amp; AIM Area'!R$1)*(Original!$J$2:$AW$2='by Product &amp; AIM Area'!$B17))</f>
        <v>0.125</v>
      </c>
      <c r="S17" s="11">
        <f>SUMPRODUCT((Original!$C$3:$C$58='by Product &amp; AIM Area'!S$1)*(Original!$O$2:$AW$2='by Product &amp; AIM Area'!$B17)*(Original!$O$3:$AW$58))
/
SUMPRODUCT((Original!$C$3:$C$58='by Product &amp; AIM Area'!S$1)*(Original!$J$2:$AW$2='by Product &amp; AIM Area'!$B17))</f>
        <v>0.125</v>
      </c>
      <c r="T17" s="11">
        <f>SUMPRODUCT((Original!$C$3:$C$58='by Product &amp; AIM Area'!T$1)*(Original!$O$2:$AW$2='by Product &amp; AIM Area'!$B17)*(Original!$O$3:$AW$58))
/
SUMPRODUCT((Original!$C$3:$C$58='by Product &amp; AIM Area'!T$1)*(Original!$J$2:$AW$2='by Product &amp; AIM Area'!$B17))</f>
        <v>1.625</v>
      </c>
      <c r="U17" s="11" t="e">
        <f>SUMPRODUCT((Original!$C$3:$C$58='by Product &amp; AIM Area'!U$1)*(Original!$O$2:$AW$2='by Product &amp; AIM Area'!$B17)*(Original!$O$3:$AW$58))
/
SUMPRODUCT((Original!$C$3:$C$58='by Product &amp; AIM Area'!U$1)*(Original!$J$2:$AW$2='by Product &amp; AIM Area'!$B17))</f>
        <v>#DIV/0!</v>
      </c>
      <c r="V17" s="11">
        <f>SUMPRODUCT((Original!$C$3:$C$58='by Product &amp; AIM Area'!V$1)*(Original!$O$2:$AW$2='by Product &amp; AIM Area'!$B17)*(Original!$O$3:$AW$58))
/
SUMPRODUCT((Original!$C$3:$C$58='by Product &amp; AIM Area'!V$1)*(Original!$J$2:$AW$2='by Product &amp; AIM Area'!$B17))</f>
        <v>0</v>
      </c>
      <c r="W17" s="11">
        <f>SUMPRODUCT((Original!$C$3:$C$58='by Product &amp; AIM Area'!W$1)*(Original!$O$2:$AW$2='by Product &amp; AIM Area'!$B17)*(Original!$O$3:$AW$58))
/
SUMPRODUCT((Original!$C$3:$C$58='by Product &amp; AIM Area'!W$1)*(Original!$J$2:$AW$2='by Product &amp; AIM Area'!$B17))</f>
        <v>1</v>
      </c>
      <c r="X17" s="11" t="e">
        <f>SUMPRODUCT((Original!$C$3:$C$58='by Product &amp; AIM Area'!X$1)*(Original!$O$2:$AW$2='by Product &amp; AIM Area'!$B17)*(Original!$O$3:$AW$58))
/
SUMPRODUCT((Original!$C$3:$C$58='by Product &amp; AIM Area'!X$1)*(Original!$J$2:$AW$2='by Product &amp; AIM Area'!$B17))</f>
        <v>#DIV/0!</v>
      </c>
      <c r="Y17" s="11" t="e">
        <f>SUMPRODUCT((Original!$C$3:$C$58='by Product &amp; AIM Area'!Y$1)*(Original!$O$2:$AW$2='by Product &amp; AIM Area'!$B17)*(Original!$O$3:$AW$58))
/
SUMPRODUCT((Original!$C$3:$C$58='by Product &amp; AIM Area'!Y$1)*(Original!$J$2:$AW$2='by Product &amp; AIM Area'!$B17))</f>
        <v>#DIV/0!</v>
      </c>
      <c r="Z17" s="11">
        <f>SUMPRODUCT((Original!$C$3:$C$58='by Product &amp; AIM Area'!Z$1)*(Original!$O$2:$AW$2='by Product &amp; AIM Area'!$B17)*(Original!$O$3:$AW$58))
/
SUMPRODUCT((Original!$C$3:$C$58='by Product &amp; AIM Area'!Z$1)*(Original!$J$2:$AW$2='by Product &amp; AIM Area'!$B17))</f>
        <v>0</v>
      </c>
      <c r="AA17" s="11">
        <f>SUMPRODUCT((Original!$C$3:$C$58='by Product &amp; AIM Area'!AA$1)*(Original!$O$2:$AW$2='by Product &amp; AIM Area'!$B17)*(Original!$O$3:$AW$58))
/
SUMPRODUCT((Original!$C$3:$C$58='by Product &amp; AIM Area'!AA$1)*(Original!$J$2:$AW$2='by Product &amp; AIM Area'!$B17))</f>
        <v>1</v>
      </c>
      <c r="AB17" s="11">
        <f>SUMPRODUCT((Original!$C$3:$C$58='by Product &amp; AIM Area'!AB$1)*(Original!$O$2:$AW$2='by Product &amp; AIM Area'!$B17)*(Original!$O$3:$AW$58))
/
SUMPRODUCT((Original!$C$3:$C$58='by Product &amp; AIM Area'!AB$1)*(Original!$J$2:$AW$2='by Product &amp; AIM Area'!$B17))</f>
        <v>0</v>
      </c>
      <c r="AC17" s="11">
        <f>SUMPRODUCT((Original!$C$3:$C$58='by Product &amp; AIM Area'!AC$1)*(Original!$O$2:$AW$2='by Product &amp; AIM Area'!$B17)*(Original!$O$3:$AW$58))
/
SUMPRODUCT((Original!$C$3:$C$58='by Product &amp; AIM Area'!AC$1)*(Original!$J$2:$AW$2='by Product &amp; AIM Area'!$B17))</f>
        <v>0.4</v>
      </c>
      <c r="AD17" s="11" t="e">
        <f t="shared" si="0"/>
        <v>#DIV/0!</v>
      </c>
    </row>
    <row r="18" spans="1:30" ht="30">
      <c r="A18" s="11" t="s">
        <v>3</v>
      </c>
      <c r="B18" s="11" t="s">
        <v>38</v>
      </c>
      <c r="C18" s="11">
        <f>SUMPRODUCT((Original!$C$3:$C$58='by Product &amp; AIM Area'!C$1)*(Original!$O$2:$AW$2='by Product &amp; AIM Area'!$B18)*(Original!$O$3:$AW$58))
/
SUMPRODUCT((Original!$C$3:$C$58='by Product &amp; AIM Area'!C$1)*(Original!$J$2:$AW$2='by Product &amp; AIM Area'!$B18))</f>
        <v>1</v>
      </c>
      <c r="D18" s="11">
        <f>SUMPRODUCT((Original!$C$3:$C$58='by Product &amp; AIM Area'!D$1)*(Original!$O$2:$AW$2='by Product &amp; AIM Area'!$B18)*(Original!$O$3:$AW$58))
/
SUMPRODUCT((Original!$C$3:$C$58='by Product &amp; AIM Area'!D$1)*(Original!$J$2:$AW$2='by Product &amp; AIM Area'!$B18))</f>
        <v>0</v>
      </c>
      <c r="E18" s="11">
        <f>SUMPRODUCT((Original!$C$3:$C$58='by Product &amp; AIM Area'!E$1)*(Original!$O$2:$AW$2='by Product &amp; AIM Area'!$B18)*(Original!$O$3:$AW$58))
/
SUMPRODUCT((Original!$C$3:$C$58='by Product &amp; AIM Area'!E$1)*(Original!$J$2:$AW$2='by Product &amp; AIM Area'!$B18))</f>
        <v>1</v>
      </c>
      <c r="F18" s="11" t="e">
        <f>SUMPRODUCT((Original!$C$3:$C$58='by Product &amp; AIM Area'!F$1)*(Original!$O$2:$AW$2='by Product &amp; AIM Area'!$B18)*(Original!$O$3:$AW$58))
/
SUMPRODUCT((Original!$C$3:$C$58='by Product &amp; AIM Area'!F$1)*(Original!$J$2:$AW$2='by Product &amp; AIM Area'!$B18))</f>
        <v>#DIV/0!</v>
      </c>
      <c r="G18" s="11" t="e">
        <f>SUMPRODUCT((Original!$C$3:$C$58='by Product &amp; AIM Area'!G$1)*(Original!$O$2:$AW$2='by Product &amp; AIM Area'!$B18)*(Original!$O$3:$AW$58))
/
SUMPRODUCT((Original!$C$3:$C$58='by Product &amp; AIM Area'!G$1)*(Original!$J$2:$AW$2='by Product &amp; AIM Area'!$B18))</f>
        <v>#DIV/0!</v>
      </c>
      <c r="H18" s="11" t="e">
        <f>SUMPRODUCT((Original!$C$3:$C$58='by Product &amp; AIM Area'!H$1)*(Original!$O$2:$AW$2='by Product &amp; AIM Area'!$B18)*(Original!$O$3:$AW$58))
/
SUMPRODUCT((Original!$C$3:$C$58='by Product &amp; AIM Area'!H$1)*(Original!$J$2:$AW$2='by Product &amp; AIM Area'!$B18))</f>
        <v>#DIV/0!</v>
      </c>
      <c r="I18" s="11">
        <f>SUMPRODUCT((Original!$C$3:$C$58='by Product &amp; AIM Area'!I$1)*(Original!$O$2:$AW$2='by Product &amp; AIM Area'!$B18)*(Original!$O$3:$AW$58))
/
SUMPRODUCT((Original!$C$3:$C$58='by Product &amp; AIM Area'!I$1)*(Original!$J$2:$AW$2='by Product &amp; AIM Area'!$B18))</f>
        <v>0</v>
      </c>
      <c r="J18" s="11">
        <f>SUMPRODUCT((Original!$C$3:$C$58='by Product &amp; AIM Area'!J$1)*(Original!$O$2:$AW$2='by Product &amp; AIM Area'!$B18)*(Original!$O$3:$AW$58))
/
SUMPRODUCT((Original!$C$3:$C$58='by Product &amp; AIM Area'!J$1)*(Original!$J$2:$AW$2='by Product &amp; AIM Area'!$B18))</f>
        <v>1</v>
      </c>
      <c r="K18" s="11" t="e">
        <f>SUMPRODUCT((Original!$C$3:$C$58='by Product &amp; AIM Area'!K$1)*(Original!$O$2:$AW$2='by Product &amp; AIM Area'!$B18)*(Original!$O$3:$AW$58))
/
SUMPRODUCT((Original!$C$3:$C$58='by Product &amp; AIM Area'!K$1)*(Original!$J$2:$AW$2='by Product &amp; AIM Area'!$B18))</f>
        <v>#DIV/0!</v>
      </c>
      <c r="L18" s="11" t="e">
        <f>SUMPRODUCT((Original!$C$3:$C$58='by Product &amp; AIM Area'!L$1)*(Original!$O$2:$AW$2='by Product &amp; AIM Area'!$B18)*(Original!$O$3:$AW$58))
/
SUMPRODUCT((Original!$C$3:$C$58='by Product &amp; AIM Area'!L$1)*(Original!$J$2:$AW$2='by Product &amp; AIM Area'!$B18))</f>
        <v>#DIV/0!</v>
      </c>
      <c r="M18" s="11">
        <f>SUMPRODUCT((Original!$C$3:$C$58='by Product &amp; AIM Area'!M$1)*(Original!$O$2:$AW$2='by Product &amp; AIM Area'!$B18)*(Original!$O$3:$AW$58))
/
SUMPRODUCT((Original!$C$3:$C$58='by Product &amp; AIM Area'!M$1)*(Original!$J$2:$AW$2='by Product &amp; AIM Area'!$B18))</f>
        <v>1</v>
      </c>
      <c r="N18" s="11" t="e">
        <f>SUMPRODUCT((Original!$C$3:$C$58='by Product &amp; AIM Area'!N$1)*(Original!$O$2:$AW$2='by Product &amp; AIM Area'!$B18)*(Original!$O$3:$AW$58))
/
SUMPRODUCT((Original!$C$3:$C$58='by Product &amp; AIM Area'!N$1)*(Original!$J$2:$AW$2='by Product &amp; AIM Area'!$B18))</f>
        <v>#DIV/0!</v>
      </c>
      <c r="O18" s="11">
        <f>SUMPRODUCT((Original!$C$3:$C$58='by Product &amp; AIM Area'!O$1)*(Original!$O$2:$AW$2='by Product &amp; AIM Area'!$B18)*(Original!$O$3:$AW$58))
/
SUMPRODUCT((Original!$C$3:$C$58='by Product &amp; AIM Area'!O$1)*(Original!$J$2:$AW$2='by Product &amp; AIM Area'!$B18))</f>
        <v>1</v>
      </c>
      <c r="P18" s="11" t="e">
        <f>SUMPRODUCT((Original!$C$3:$C$58='by Product &amp; AIM Area'!P$1)*(Original!$O$2:$AW$2='by Product &amp; AIM Area'!$B18)*(Original!$O$3:$AW$58))
/
SUMPRODUCT((Original!$C$3:$C$58='by Product &amp; AIM Area'!P$1)*(Original!$J$2:$AW$2='by Product &amp; AIM Area'!$B18))</f>
        <v>#DIV/0!</v>
      </c>
      <c r="Q18" s="11">
        <f>SUMPRODUCT((Original!$C$3:$C$58='by Product &amp; AIM Area'!Q$1)*(Original!$O$2:$AW$2='by Product &amp; AIM Area'!$B18)*(Original!$O$3:$AW$58))
/
SUMPRODUCT((Original!$C$3:$C$58='by Product &amp; AIM Area'!Q$1)*(Original!$J$2:$AW$2='by Product &amp; AIM Area'!$B18))</f>
        <v>1</v>
      </c>
      <c r="R18" s="11">
        <f>SUMPRODUCT((Original!$C$3:$C$58='by Product &amp; AIM Area'!R$1)*(Original!$O$2:$AW$2='by Product &amp; AIM Area'!$B18)*(Original!$O$3:$AW$58))
/
SUMPRODUCT((Original!$C$3:$C$58='by Product &amp; AIM Area'!R$1)*(Original!$J$2:$AW$2='by Product &amp; AIM Area'!$B18))</f>
        <v>0.125</v>
      </c>
      <c r="S18" s="11">
        <f>SUMPRODUCT((Original!$C$3:$C$58='by Product &amp; AIM Area'!S$1)*(Original!$O$2:$AW$2='by Product &amp; AIM Area'!$B18)*(Original!$O$3:$AW$58))
/
SUMPRODUCT((Original!$C$3:$C$58='by Product &amp; AIM Area'!S$1)*(Original!$J$2:$AW$2='by Product &amp; AIM Area'!$B18))</f>
        <v>0.25</v>
      </c>
      <c r="T18" s="11">
        <f>SUMPRODUCT((Original!$C$3:$C$58='by Product &amp; AIM Area'!T$1)*(Original!$O$2:$AW$2='by Product &amp; AIM Area'!$B18)*(Original!$O$3:$AW$58))
/
SUMPRODUCT((Original!$C$3:$C$58='by Product &amp; AIM Area'!T$1)*(Original!$J$2:$AW$2='by Product &amp; AIM Area'!$B18))</f>
        <v>1.5</v>
      </c>
      <c r="U18" s="11" t="e">
        <f>SUMPRODUCT((Original!$C$3:$C$58='by Product &amp; AIM Area'!U$1)*(Original!$O$2:$AW$2='by Product &amp; AIM Area'!$B18)*(Original!$O$3:$AW$58))
/
SUMPRODUCT((Original!$C$3:$C$58='by Product &amp; AIM Area'!U$1)*(Original!$J$2:$AW$2='by Product &amp; AIM Area'!$B18))</f>
        <v>#DIV/0!</v>
      </c>
      <c r="V18" s="11">
        <f>SUMPRODUCT((Original!$C$3:$C$58='by Product &amp; AIM Area'!V$1)*(Original!$O$2:$AW$2='by Product &amp; AIM Area'!$B18)*(Original!$O$3:$AW$58))
/
SUMPRODUCT((Original!$C$3:$C$58='by Product &amp; AIM Area'!V$1)*(Original!$J$2:$AW$2='by Product &amp; AIM Area'!$B18))</f>
        <v>1</v>
      </c>
      <c r="W18" s="11">
        <f>SUMPRODUCT((Original!$C$3:$C$58='by Product &amp; AIM Area'!W$1)*(Original!$O$2:$AW$2='by Product &amp; AIM Area'!$B18)*(Original!$O$3:$AW$58))
/
SUMPRODUCT((Original!$C$3:$C$58='by Product &amp; AIM Area'!W$1)*(Original!$J$2:$AW$2='by Product &amp; AIM Area'!$B18))</f>
        <v>1</v>
      </c>
      <c r="X18" s="11" t="e">
        <f>SUMPRODUCT((Original!$C$3:$C$58='by Product &amp; AIM Area'!X$1)*(Original!$O$2:$AW$2='by Product &amp; AIM Area'!$B18)*(Original!$O$3:$AW$58))
/
SUMPRODUCT((Original!$C$3:$C$58='by Product &amp; AIM Area'!X$1)*(Original!$J$2:$AW$2='by Product &amp; AIM Area'!$B18))</f>
        <v>#DIV/0!</v>
      </c>
      <c r="Y18" s="11" t="e">
        <f>SUMPRODUCT((Original!$C$3:$C$58='by Product &amp; AIM Area'!Y$1)*(Original!$O$2:$AW$2='by Product &amp; AIM Area'!$B18)*(Original!$O$3:$AW$58))
/
SUMPRODUCT((Original!$C$3:$C$58='by Product &amp; AIM Area'!Y$1)*(Original!$J$2:$AW$2='by Product &amp; AIM Area'!$B18))</f>
        <v>#DIV/0!</v>
      </c>
      <c r="Z18" s="11">
        <f>SUMPRODUCT((Original!$C$3:$C$58='by Product &amp; AIM Area'!Z$1)*(Original!$O$2:$AW$2='by Product &amp; AIM Area'!$B18)*(Original!$O$3:$AW$58))
/
SUMPRODUCT((Original!$C$3:$C$58='by Product &amp; AIM Area'!Z$1)*(Original!$J$2:$AW$2='by Product &amp; AIM Area'!$B18))</f>
        <v>0</v>
      </c>
      <c r="AA18" s="11">
        <f>SUMPRODUCT((Original!$C$3:$C$58='by Product &amp; AIM Area'!AA$1)*(Original!$O$2:$AW$2='by Product &amp; AIM Area'!$B18)*(Original!$O$3:$AW$58))
/
SUMPRODUCT((Original!$C$3:$C$58='by Product &amp; AIM Area'!AA$1)*(Original!$J$2:$AW$2='by Product &amp; AIM Area'!$B18))</f>
        <v>0</v>
      </c>
      <c r="AB18" s="11">
        <f>SUMPRODUCT((Original!$C$3:$C$58='by Product &amp; AIM Area'!AB$1)*(Original!$O$2:$AW$2='by Product &amp; AIM Area'!$B18)*(Original!$O$3:$AW$58))
/
SUMPRODUCT((Original!$C$3:$C$58='by Product &amp; AIM Area'!AB$1)*(Original!$J$2:$AW$2='by Product &amp; AIM Area'!$B18))</f>
        <v>0.5</v>
      </c>
      <c r="AC18" s="11">
        <f>SUMPRODUCT((Original!$C$3:$C$58='by Product &amp; AIM Area'!AC$1)*(Original!$O$2:$AW$2='by Product &amp; AIM Area'!$B18)*(Original!$O$3:$AW$58))
/
SUMPRODUCT((Original!$C$3:$C$58='by Product &amp; AIM Area'!AC$1)*(Original!$J$2:$AW$2='by Product &amp; AIM Area'!$B18))</f>
        <v>0</v>
      </c>
      <c r="AD18" s="11" t="e">
        <f t="shared" si="0"/>
        <v>#DIV/0!</v>
      </c>
    </row>
    <row r="19" spans="1:30" ht="30">
      <c r="A19" s="11" t="s">
        <v>3</v>
      </c>
      <c r="B19" s="11" t="s">
        <v>39</v>
      </c>
      <c r="C19" s="11">
        <f>SUMPRODUCT((Original!$C$3:$C$58='by Product &amp; AIM Area'!C$1)*(Original!$O$2:$AW$2='by Product &amp; AIM Area'!$B19)*(Original!$O$3:$AW$58))
/
SUMPRODUCT((Original!$C$3:$C$58='by Product &amp; AIM Area'!C$1)*(Original!$J$2:$AW$2='by Product &amp; AIM Area'!$B19))</f>
        <v>3</v>
      </c>
      <c r="D19" s="11">
        <f>SUMPRODUCT((Original!$C$3:$C$58='by Product &amp; AIM Area'!D$1)*(Original!$O$2:$AW$2='by Product &amp; AIM Area'!$B19)*(Original!$O$3:$AW$58))
/
SUMPRODUCT((Original!$C$3:$C$58='by Product &amp; AIM Area'!D$1)*(Original!$J$2:$AW$2='by Product &amp; AIM Area'!$B19))</f>
        <v>1</v>
      </c>
      <c r="E19" s="11">
        <f>SUMPRODUCT((Original!$C$3:$C$58='by Product &amp; AIM Area'!E$1)*(Original!$O$2:$AW$2='by Product &amp; AIM Area'!$B19)*(Original!$O$3:$AW$58))
/
SUMPRODUCT((Original!$C$3:$C$58='by Product &amp; AIM Area'!E$1)*(Original!$J$2:$AW$2='by Product &amp; AIM Area'!$B19))</f>
        <v>1</v>
      </c>
      <c r="F19" s="11" t="e">
        <f>SUMPRODUCT((Original!$C$3:$C$58='by Product &amp; AIM Area'!F$1)*(Original!$O$2:$AW$2='by Product &amp; AIM Area'!$B19)*(Original!$O$3:$AW$58))
/
SUMPRODUCT((Original!$C$3:$C$58='by Product &amp; AIM Area'!F$1)*(Original!$J$2:$AW$2='by Product &amp; AIM Area'!$B19))</f>
        <v>#DIV/0!</v>
      </c>
      <c r="G19" s="11" t="e">
        <f>SUMPRODUCT((Original!$C$3:$C$58='by Product &amp; AIM Area'!G$1)*(Original!$O$2:$AW$2='by Product &amp; AIM Area'!$B19)*(Original!$O$3:$AW$58))
/
SUMPRODUCT((Original!$C$3:$C$58='by Product &amp; AIM Area'!G$1)*(Original!$J$2:$AW$2='by Product &amp; AIM Area'!$B19))</f>
        <v>#DIV/0!</v>
      </c>
      <c r="H19" s="11" t="e">
        <f>SUMPRODUCT((Original!$C$3:$C$58='by Product &amp; AIM Area'!H$1)*(Original!$O$2:$AW$2='by Product &amp; AIM Area'!$B19)*(Original!$O$3:$AW$58))
/
SUMPRODUCT((Original!$C$3:$C$58='by Product &amp; AIM Area'!H$1)*(Original!$J$2:$AW$2='by Product &amp; AIM Area'!$B19))</f>
        <v>#DIV/0!</v>
      </c>
      <c r="I19" s="11">
        <f>SUMPRODUCT((Original!$C$3:$C$58='by Product &amp; AIM Area'!I$1)*(Original!$O$2:$AW$2='by Product &amp; AIM Area'!$B19)*(Original!$O$3:$AW$58))
/
SUMPRODUCT((Original!$C$3:$C$58='by Product &amp; AIM Area'!I$1)*(Original!$J$2:$AW$2='by Product &amp; AIM Area'!$B19))</f>
        <v>0</v>
      </c>
      <c r="J19" s="11">
        <f>SUMPRODUCT((Original!$C$3:$C$58='by Product &amp; AIM Area'!J$1)*(Original!$O$2:$AW$2='by Product &amp; AIM Area'!$B19)*(Original!$O$3:$AW$58))
/
SUMPRODUCT((Original!$C$3:$C$58='by Product &amp; AIM Area'!J$1)*(Original!$J$2:$AW$2='by Product &amp; AIM Area'!$B19))</f>
        <v>1</v>
      </c>
      <c r="K19" s="11" t="e">
        <f>SUMPRODUCT((Original!$C$3:$C$58='by Product &amp; AIM Area'!K$1)*(Original!$O$2:$AW$2='by Product &amp; AIM Area'!$B19)*(Original!$O$3:$AW$58))
/
SUMPRODUCT((Original!$C$3:$C$58='by Product &amp; AIM Area'!K$1)*(Original!$J$2:$AW$2='by Product &amp; AIM Area'!$B19))</f>
        <v>#DIV/0!</v>
      </c>
      <c r="L19" s="11" t="e">
        <f>SUMPRODUCT((Original!$C$3:$C$58='by Product &amp; AIM Area'!L$1)*(Original!$O$2:$AW$2='by Product &amp; AIM Area'!$B19)*(Original!$O$3:$AW$58))
/
SUMPRODUCT((Original!$C$3:$C$58='by Product &amp; AIM Area'!L$1)*(Original!$J$2:$AW$2='by Product &amp; AIM Area'!$B19))</f>
        <v>#DIV/0!</v>
      </c>
      <c r="M19" s="11">
        <f>SUMPRODUCT((Original!$C$3:$C$58='by Product &amp; AIM Area'!M$1)*(Original!$O$2:$AW$2='by Product &amp; AIM Area'!$B19)*(Original!$O$3:$AW$58))
/
SUMPRODUCT((Original!$C$3:$C$58='by Product &amp; AIM Area'!M$1)*(Original!$J$2:$AW$2='by Product &amp; AIM Area'!$B19))</f>
        <v>1</v>
      </c>
      <c r="N19" s="11" t="e">
        <f>SUMPRODUCT((Original!$C$3:$C$58='by Product &amp; AIM Area'!N$1)*(Original!$O$2:$AW$2='by Product &amp; AIM Area'!$B19)*(Original!$O$3:$AW$58))
/
SUMPRODUCT((Original!$C$3:$C$58='by Product &amp; AIM Area'!N$1)*(Original!$J$2:$AW$2='by Product &amp; AIM Area'!$B19))</f>
        <v>#DIV/0!</v>
      </c>
      <c r="O19" s="11">
        <f>SUMPRODUCT((Original!$C$3:$C$58='by Product &amp; AIM Area'!O$1)*(Original!$O$2:$AW$2='by Product &amp; AIM Area'!$B19)*(Original!$O$3:$AW$58))
/
SUMPRODUCT((Original!$C$3:$C$58='by Product &amp; AIM Area'!O$1)*(Original!$J$2:$AW$2='by Product &amp; AIM Area'!$B19))</f>
        <v>1</v>
      </c>
      <c r="P19" s="11" t="e">
        <f>SUMPRODUCT((Original!$C$3:$C$58='by Product &amp; AIM Area'!P$1)*(Original!$O$2:$AW$2='by Product &amp; AIM Area'!$B19)*(Original!$O$3:$AW$58))
/
SUMPRODUCT((Original!$C$3:$C$58='by Product &amp; AIM Area'!P$1)*(Original!$J$2:$AW$2='by Product &amp; AIM Area'!$B19))</f>
        <v>#DIV/0!</v>
      </c>
      <c r="Q19" s="11">
        <f>SUMPRODUCT((Original!$C$3:$C$58='by Product &amp; AIM Area'!Q$1)*(Original!$O$2:$AW$2='by Product &amp; AIM Area'!$B19)*(Original!$O$3:$AW$58))
/
SUMPRODUCT((Original!$C$3:$C$58='by Product &amp; AIM Area'!Q$1)*(Original!$J$2:$AW$2='by Product &amp; AIM Area'!$B19))</f>
        <v>1</v>
      </c>
      <c r="R19" s="11">
        <f>SUMPRODUCT((Original!$C$3:$C$58='by Product &amp; AIM Area'!R$1)*(Original!$O$2:$AW$2='by Product &amp; AIM Area'!$B19)*(Original!$O$3:$AW$58))
/
SUMPRODUCT((Original!$C$3:$C$58='by Product &amp; AIM Area'!R$1)*(Original!$J$2:$AW$2='by Product &amp; AIM Area'!$B19))</f>
        <v>0.875</v>
      </c>
      <c r="S19" s="11">
        <f>SUMPRODUCT((Original!$C$3:$C$58='by Product &amp; AIM Area'!S$1)*(Original!$O$2:$AW$2='by Product &amp; AIM Area'!$B19)*(Original!$O$3:$AW$58))
/
SUMPRODUCT((Original!$C$3:$C$58='by Product &amp; AIM Area'!S$1)*(Original!$J$2:$AW$2='by Product &amp; AIM Area'!$B19))</f>
        <v>0.625</v>
      </c>
      <c r="T19" s="11">
        <f>SUMPRODUCT((Original!$C$3:$C$58='by Product &amp; AIM Area'!T$1)*(Original!$O$2:$AW$2='by Product &amp; AIM Area'!$B19)*(Original!$O$3:$AW$58))
/
SUMPRODUCT((Original!$C$3:$C$58='by Product &amp; AIM Area'!T$1)*(Original!$J$2:$AW$2='by Product &amp; AIM Area'!$B19))</f>
        <v>0.875</v>
      </c>
      <c r="U19" s="11" t="e">
        <f>SUMPRODUCT((Original!$C$3:$C$58='by Product &amp; AIM Area'!U$1)*(Original!$O$2:$AW$2='by Product &amp; AIM Area'!$B19)*(Original!$O$3:$AW$58))
/
SUMPRODUCT((Original!$C$3:$C$58='by Product &amp; AIM Area'!U$1)*(Original!$J$2:$AW$2='by Product &amp; AIM Area'!$B19))</f>
        <v>#DIV/0!</v>
      </c>
      <c r="V19" s="11">
        <f>SUMPRODUCT((Original!$C$3:$C$58='by Product &amp; AIM Area'!V$1)*(Original!$O$2:$AW$2='by Product &amp; AIM Area'!$B19)*(Original!$O$3:$AW$58))
/
SUMPRODUCT((Original!$C$3:$C$58='by Product &amp; AIM Area'!V$1)*(Original!$J$2:$AW$2='by Product &amp; AIM Area'!$B19))</f>
        <v>1</v>
      </c>
      <c r="W19" s="11">
        <f>SUMPRODUCT((Original!$C$3:$C$58='by Product &amp; AIM Area'!W$1)*(Original!$O$2:$AW$2='by Product &amp; AIM Area'!$B19)*(Original!$O$3:$AW$58))
/
SUMPRODUCT((Original!$C$3:$C$58='by Product &amp; AIM Area'!W$1)*(Original!$J$2:$AW$2='by Product &amp; AIM Area'!$B19))</f>
        <v>1</v>
      </c>
      <c r="X19" s="11" t="e">
        <f>SUMPRODUCT((Original!$C$3:$C$58='by Product &amp; AIM Area'!X$1)*(Original!$O$2:$AW$2='by Product &amp; AIM Area'!$B19)*(Original!$O$3:$AW$58))
/
SUMPRODUCT((Original!$C$3:$C$58='by Product &amp; AIM Area'!X$1)*(Original!$J$2:$AW$2='by Product &amp; AIM Area'!$B19))</f>
        <v>#DIV/0!</v>
      </c>
      <c r="Y19" s="11" t="e">
        <f>SUMPRODUCT((Original!$C$3:$C$58='by Product &amp; AIM Area'!Y$1)*(Original!$O$2:$AW$2='by Product &amp; AIM Area'!$B19)*(Original!$O$3:$AW$58))
/
SUMPRODUCT((Original!$C$3:$C$58='by Product &amp; AIM Area'!Y$1)*(Original!$J$2:$AW$2='by Product &amp; AIM Area'!$B19))</f>
        <v>#DIV/0!</v>
      </c>
      <c r="Z19" s="11">
        <f>SUMPRODUCT((Original!$C$3:$C$58='by Product &amp; AIM Area'!Z$1)*(Original!$O$2:$AW$2='by Product &amp; AIM Area'!$B19)*(Original!$O$3:$AW$58))
/
SUMPRODUCT((Original!$C$3:$C$58='by Product &amp; AIM Area'!Z$1)*(Original!$J$2:$AW$2='by Product &amp; AIM Area'!$B19))</f>
        <v>1</v>
      </c>
      <c r="AA19" s="11">
        <f>SUMPRODUCT((Original!$C$3:$C$58='by Product &amp; AIM Area'!AA$1)*(Original!$O$2:$AW$2='by Product &amp; AIM Area'!$B19)*(Original!$O$3:$AW$58))
/
SUMPRODUCT((Original!$C$3:$C$58='by Product &amp; AIM Area'!AA$1)*(Original!$J$2:$AW$2='by Product &amp; AIM Area'!$B19))</f>
        <v>0</v>
      </c>
      <c r="AB19" s="11">
        <f>SUMPRODUCT((Original!$C$3:$C$58='by Product &amp; AIM Area'!AB$1)*(Original!$O$2:$AW$2='by Product &amp; AIM Area'!$B19)*(Original!$O$3:$AW$58))
/
SUMPRODUCT((Original!$C$3:$C$58='by Product &amp; AIM Area'!AB$1)*(Original!$J$2:$AW$2='by Product &amp; AIM Area'!$B19))</f>
        <v>0.5</v>
      </c>
      <c r="AC19" s="11">
        <f>SUMPRODUCT((Original!$C$3:$C$58='by Product &amp; AIM Area'!AC$1)*(Original!$O$2:$AW$2='by Product &amp; AIM Area'!$B19)*(Original!$O$3:$AW$58))
/
SUMPRODUCT((Original!$C$3:$C$58='by Product &amp; AIM Area'!AC$1)*(Original!$J$2:$AW$2='by Product &amp; AIM Area'!$B19))</f>
        <v>0.2</v>
      </c>
      <c r="AD19" s="11" t="e">
        <f t="shared" si="0"/>
        <v>#DIV/0!</v>
      </c>
    </row>
    <row r="20" spans="1:30" ht="30">
      <c r="A20" s="11" t="s">
        <v>3</v>
      </c>
      <c r="B20" s="11" t="s">
        <v>40</v>
      </c>
      <c r="C20" s="11">
        <f>SUMPRODUCT((Original!$C$3:$C$58='by Product &amp; AIM Area'!C$1)*(Original!$O$2:$AW$2='by Product &amp; AIM Area'!$B20)*(Original!$O$3:$AW$58))
/
SUMPRODUCT((Original!$C$3:$C$58='by Product &amp; AIM Area'!C$1)*(Original!$J$2:$AW$2='by Product &amp; AIM Area'!$B20))</f>
        <v>3</v>
      </c>
      <c r="D20" s="11">
        <f>SUMPRODUCT((Original!$C$3:$C$58='by Product &amp; AIM Area'!D$1)*(Original!$O$2:$AW$2='by Product &amp; AIM Area'!$B20)*(Original!$O$3:$AW$58))
/
SUMPRODUCT((Original!$C$3:$C$58='by Product &amp; AIM Area'!D$1)*(Original!$J$2:$AW$2='by Product &amp; AIM Area'!$B20))</f>
        <v>1</v>
      </c>
      <c r="E20" s="11">
        <f>SUMPRODUCT((Original!$C$3:$C$58='by Product &amp; AIM Area'!E$1)*(Original!$O$2:$AW$2='by Product &amp; AIM Area'!$B20)*(Original!$O$3:$AW$58))
/
SUMPRODUCT((Original!$C$3:$C$58='by Product &amp; AIM Area'!E$1)*(Original!$J$2:$AW$2='by Product &amp; AIM Area'!$B20))</f>
        <v>1</v>
      </c>
      <c r="F20" s="11" t="e">
        <f>SUMPRODUCT((Original!$C$3:$C$58='by Product &amp; AIM Area'!F$1)*(Original!$O$2:$AW$2='by Product &amp; AIM Area'!$B20)*(Original!$O$3:$AW$58))
/
SUMPRODUCT((Original!$C$3:$C$58='by Product &amp; AIM Area'!F$1)*(Original!$J$2:$AW$2='by Product &amp; AIM Area'!$B20))</f>
        <v>#DIV/0!</v>
      </c>
      <c r="G20" s="11" t="e">
        <f>SUMPRODUCT((Original!$C$3:$C$58='by Product &amp; AIM Area'!G$1)*(Original!$O$2:$AW$2='by Product &amp; AIM Area'!$B20)*(Original!$O$3:$AW$58))
/
SUMPRODUCT((Original!$C$3:$C$58='by Product &amp; AIM Area'!G$1)*(Original!$J$2:$AW$2='by Product &amp; AIM Area'!$B20))</f>
        <v>#DIV/0!</v>
      </c>
      <c r="H20" s="11" t="e">
        <f>SUMPRODUCT((Original!$C$3:$C$58='by Product &amp; AIM Area'!H$1)*(Original!$O$2:$AW$2='by Product &amp; AIM Area'!$B20)*(Original!$O$3:$AW$58))
/
SUMPRODUCT((Original!$C$3:$C$58='by Product &amp; AIM Area'!H$1)*(Original!$J$2:$AW$2='by Product &amp; AIM Area'!$B20))</f>
        <v>#DIV/0!</v>
      </c>
      <c r="I20" s="11">
        <f>SUMPRODUCT((Original!$C$3:$C$58='by Product &amp; AIM Area'!I$1)*(Original!$O$2:$AW$2='by Product &amp; AIM Area'!$B20)*(Original!$O$3:$AW$58))
/
SUMPRODUCT((Original!$C$3:$C$58='by Product &amp; AIM Area'!I$1)*(Original!$J$2:$AW$2='by Product &amp; AIM Area'!$B20))</f>
        <v>0.5</v>
      </c>
      <c r="J20" s="11">
        <f>SUMPRODUCT((Original!$C$3:$C$58='by Product &amp; AIM Area'!J$1)*(Original!$O$2:$AW$2='by Product &amp; AIM Area'!$B20)*(Original!$O$3:$AW$58))
/
SUMPRODUCT((Original!$C$3:$C$58='by Product &amp; AIM Area'!J$1)*(Original!$J$2:$AW$2='by Product &amp; AIM Area'!$B20))</f>
        <v>1</v>
      </c>
      <c r="K20" s="11" t="e">
        <f>SUMPRODUCT((Original!$C$3:$C$58='by Product &amp; AIM Area'!K$1)*(Original!$O$2:$AW$2='by Product &amp; AIM Area'!$B20)*(Original!$O$3:$AW$58))
/
SUMPRODUCT((Original!$C$3:$C$58='by Product &amp; AIM Area'!K$1)*(Original!$J$2:$AW$2='by Product &amp; AIM Area'!$B20))</f>
        <v>#DIV/0!</v>
      </c>
      <c r="L20" s="11" t="e">
        <f>SUMPRODUCT((Original!$C$3:$C$58='by Product &amp; AIM Area'!L$1)*(Original!$O$2:$AW$2='by Product &amp; AIM Area'!$B20)*(Original!$O$3:$AW$58))
/
SUMPRODUCT((Original!$C$3:$C$58='by Product &amp; AIM Area'!L$1)*(Original!$J$2:$AW$2='by Product &amp; AIM Area'!$B20))</f>
        <v>#DIV/0!</v>
      </c>
      <c r="M20" s="11">
        <f>SUMPRODUCT((Original!$C$3:$C$58='by Product &amp; AIM Area'!M$1)*(Original!$O$2:$AW$2='by Product &amp; AIM Area'!$B20)*(Original!$O$3:$AW$58))
/
SUMPRODUCT((Original!$C$3:$C$58='by Product &amp; AIM Area'!M$1)*(Original!$J$2:$AW$2='by Product &amp; AIM Area'!$B20))</f>
        <v>1</v>
      </c>
      <c r="N20" s="11" t="e">
        <f>SUMPRODUCT((Original!$C$3:$C$58='by Product &amp; AIM Area'!N$1)*(Original!$O$2:$AW$2='by Product &amp; AIM Area'!$B20)*(Original!$O$3:$AW$58))
/
SUMPRODUCT((Original!$C$3:$C$58='by Product &amp; AIM Area'!N$1)*(Original!$J$2:$AW$2='by Product &amp; AIM Area'!$B20))</f>
        <v>#DIV/0!</v>
      </c>
      <c r="O20" s="11">
        <f>SUMPRODUCT((Original!$C$3:$C$58='by Product &amp; AIM Area'!O$1)*(Original!$O$2:$AW$2='by Product &amp; AIM Area'!$B20)*(Original!$O$3:$AW$58))
/
SUMPRODUCT((Original!$C$3:$C$58='by Product &amp; AIM Area'!O$1)*(Original!$J$2:$AW$2='by Product &amp; AIM Area'!$B20))</f>
        <v>1</v>
      </c>
      <c r="P20" s="11" t="e">
        <f>SUMPRODUCT((Original!$C$3:$C$58='by Product &amp; AIM Area'!P$1)*(Original!$O$2:$AW$2='by Product &amp; AIM Area'!$B20)*(Original!$O$3:$AW$58))
/
SUMPRODUCT((Original!$C$3:$C$58='by Product &amp; AIM Area'!P$1)*(Original!$J$2:$AW$2='by Product &amp; AIM Area'!$B20))</f>
        <v>#DIV/0!</v>
      </c>
      <c r="Q20" s="11">
        <f>SUMPRODUCT((Original!$C$3:$C$58='by Product &amp; AIM Area'!Q$1)*(Original!$O$2:$AW$2='by Product &amp; AIM Area'!$B20)*(Original!$O$3:$AW$58))
/
SUMPRODUCT((Original!$C$3:$C$58='by Product &amp; AIM Area'!Q$1)*(Original!$J$2:$AW$2='by Product &amp; AIM Area'!$B20))</f>
        <v>1</v>
      </c>
      <c r="R20" s="11">
        <f>SUMPRODUCT((Original!$C$3:$C$58='by Product &amp; AIM Area'!R$1)*(Original!$O$2:$AW$2='by Product &amp; AIM Area'!$B20)*(Original!$O$3:$AW$58))
/
SUMPRODUCT((Original!$C$3:$C$58='by Product &amp; AIM Area'!R$1)*(Original!$J$2:$AW$2='by Product &amp; AIM Area'!$B20))</f>
        <v>1.375</v>
      </c>
      <c r="S20" s="11">
        <f>SUMPRODUCT((Original!$C$3:$C$58='by Product &amp; AIM Area'!S$1)*(Original!$O$2:$AW$2='by Product &amp; AIM Area'!$B20)*(Original!$O$3:$AW$58))
/
SUMPRODUCT((Original!$C$3:$C$58='by Product &amp; AIM Area'!S$1)*(Original!$J$2:$AW$2='by Product &amp; AIM Area'!$B20))</f>
        <v>0.75</v>
      </c>
      <c r="T20" s="11">
        <f>SUMPRODUCT((Original!$C$3:$C$58='by Product &amp; AIM Area'!T$1)*(Original!$O$2:$AW$2='by Product &amp; AIM Area'!$B20)*(Original!$O$3:$AW$58))
/
SUMPRODUCT((Original!$C$3:$C$58='by Product &amp; AIM Area'!T$1)*(Original!$J$2:$AW$2='by Product &amp; AIM Area'!$B20))</f>
        <v>1</v>
      </c>
      <c r="U20" s="11" t="e">
        <f>SUMPRODUCT((Original!$C$3:$C$58='by Product &amp; AIM Area'!U$1)*(Original!$O$2:$AW$2='by Product &amp; AIM Area'!$B20)*(Original!$O$3:$AW$58))
/
SUMPRODUCT((Original!$C$3:$C$58='by Product &amp; AIM Area'!U$1)*(Original!$J$2:$AW$2='by Product &amp; AIM Area'!$B20))</f>
        <v>#DIV/0!</v>
      </c>
      <c r="V20" s="11">
        <f>SUMPRODUCT((Original!$C$3:$C$58='by Product &amp; AIM Area'!V$1)*(Original!$O$2:$AW$2='by Product &amp; AIM Area'!$B20)*(Original!$O$3:$AW$58))
/
SUMPRODUCT((Original!$C$3:$C$58='by Product &amp; AIM Area'!V$1)*(Original!$J$2:$AW$2='by Product &amp; AIM Area'!$B20))</f>
        <v>1</v>
      </c>
      <c r="W20" s="11">
        <f>SUMPRODUCT((Original!$C$3:$C$58='by Product &amp; AIM Area'!W$1)*(Original!$O$2:$AW$2='by Product &amp; AIM Area'!$B20)*(Original!$O$3:$AW$58))
/
SUMPRODUCT((Original!$C$3:$C$58='by Product &amp; AIM Area'!W$1)*(Original!$J$2:$AW$2='by Product &amp; AIM Area'!$B20))</f>
        <v>1</v>
      </c>
      <c r="X20" s="11" t="e">
        <f>SUMPRODUCT((Original!$C$3:$C$58='by Product &amp; AIM Area'!X$1)*(Original!$O$2:$AW$2='by Product &amp; AIM Area'!$B20)*(Original!$O$3:$AW$58))
/
SUMPRODUCT((Original!$C$3:$C$58='by Product &amp; AIM Area'!X$1)*(Original!$J$2:$AW$2='by Product &amp; AIM Area'!$B20))</f>
        <v>#DIV/0!</v>
      </c>
      <c r="Y20" s="11" t="e">
        <f>SUMPRODUCT((Original!$C$3:$C$58='by Product &amp; AIM Area'!Y$1)*(Original!$O$2:$AW$2='by Product &amp; AIM Area'!$B20)*(Original!$O$3:$AW$58))
/
SUMPRODUCT((Original!$C$3:$C$58='by Product &amp; AIM Area'!Y$1)*(Original!$J$2:$AW$2='by Product &amp; AIM Area'!$B20))</f>
        <v>#DIV/0!</v>
      </c>
      <c r="Z20" s="11">
        <f>SUMPRODUCT((Original!$C$3:$C$58='by Product &amp; AIM Area'!Z$1)*(Original!$O$2:$AW$2='by Product &amp; AIM Area'!$B20)*(Original!$O$3:$AW$58))
/
SUMPRODUCT((Original!$C$3:$C$58='by Product &amp; AIM Area'!Z$1)*(Original!$J$2:$AW$2='by Product &amp; AIM Area'!$B20))</f>
        <v>1</v>
      </c>
      <c r="AA20" s="11">
        <f>SUMPRODUCT((Original!$C$3:$C$58='by Product &amp; AIM Area'!AA$1)*(Original!$O$2:$AW$2='by Product &amp; AIM Area'!$B20)*(Original!$O$3:$AW$58))
/
SUMPRODUCT((Original!$C$3:$C$58='by Product &amp; AIM Area'!AA$1)*(Original!$J$2:$AW$2='by Product &amp; AIM Area'!$B20))</f>
        <v>0</v>
      </c>
      <c r="AB20" s="11">
        <f>SUMPRODUCT((Original!$C$3:$C$58='by Product &amp; AIM Area'!AB$1)*(Original!$O$2:$AW$2='by Product &amp; AIM Area'!$B20)*(Original!$O$3:$AW$58))
/
SUMPRODUCT((Original!$C$3:$C$58='by Product &amp; AIM Area'!AB$1)*(Original!$J$2:$AW$2='by Product &amp; AIM Area'!$B20))</f>
        <v>0.5</v>
      </c>
      <c r="AC20" s="11">
        <f>SUMPRODUCT((Original!$C$3:$C$58='by Product &amp; AIM Area'!AC$1)*(Original!$O$2:$AW$2='by Product &amp; AIM Area'!$B20)*(Original!$O$3:$AW$58))
/
SUMPRODUCT((Original!$C$3:$C$58='by Product &amp; AIM Area'!AC$1)*(Original!$J$2:$AW$2='by Product &amp; AIM Area'!$B20))</f>
        <v>0.2</v>
      </c>
      <c r="AD20" s="11" t="e">
        <f t="shared" si="0"/>
        <v>#DIV/0!</v>
      </c>
    </row>
    <row r="21" spans="1:30" ht="30">
      <c r="A21" s="11" t="s">
        <v>3</v>
      </c>
      <c r="B21" s="11" t="s">
        <v>41</v>
      </c>
      <c r="C21" s="11">
        <f>SUMPRODUCT((Original!$C$3:$C$58='by Product &amp; AIM Area'!C$1)*(Original!$O$2:$AW$2='by Product &amp; AIM Area'!$B21)*(Original!$O$3:$AW$58))
/
SUMPRODUCT((Original!$C$3:$C$58='by Product &amp; AIM Area'!C$1)*(Original!$J$2:$AW$2='by Product &amp; AIM Area'!$B21))</f>
        <v>3</v>
      </c>
      <c r="D21" s="11">
        <f>SUMPRODUCT((Original!$C$3:$C$58='by Product &amp; AIM Area'!D$1)*(Original!$O$2:$AW$2='by Product &amp; AIM Area'!$B21)*(Original!$O$3:$AW$58))
/
SUMPRODUCT((Original!$C$3:$C$58='by Product &amp; AIM Area'!D$1)*(Original!$J$2:$AW$2='by Product &amp; AIM Area'!$B21))</f>
        <v>1</v>
      </c>
      <c r="E21" s="11">
        <f>SUMPRODUCT((Original!$C$3:$C$58='by Product &amp; AIM Area'!E$1)*(Original!$O$2:$AW$2='by Product &amp; AIM Area'!$B21)*(Original!$O$3:$AW$58))
/
SUMPRODUCT((Original!$C$3:$C$58='by Product &amp; AIM Area'!E$1)*(Original!$J$2:$AW$2='by Product &amp; AIM Area'!$B21))</f>
        <v>0</v>
      </c>
      <c r="F21" s="11" t="e">
        <f>SUMPRODUCT((Original!$C$3:$C$58='by Product &amp; AIM Area'!F$1)*(Original!$O$2:$AW$2='by Product &amp; AIM Area'!$B21)*(Original!$O$3:$AW$58))
/
SUMPRODUCT((Original!$C$3:$C$58='by Product &amp; AIM Area'!F$1)*(Original!$J$2:$AW$2='by Product &amp; AIM Area'!$B21))</f>
        <v>#DIV/0!</v>
      </c>
      <c r="G21" s="11" t="e">
        <f>SUMPRODUCT((Original!$C$3:$C$58='by Product &amp; AIM Area'!G$1)*(Original!$O$2:$AW$2='by Product &amp; AIM Area'!$B21)*(Original!$O$3:$AW$58))
/
SUMPRODUCT((Original!$C$3:$C$58='by Product &amp; AIM Area'!G$1)*(Original!$J$2:$AW$2='by Product &amp; AIM Area'!$B21))</f>
        <v>#DIV/0!</v>
      </c>
      <c r="H21" s="11" t="e">
        <f>SUMPRODUCT((Original!$C$3:$C$58='by Product &amp; AIM Area'!H$1)*(Original!$O$2:$AW$2='by Product &amp; AIM Area'!$B21)*(Original!$O$3:$AW$58))
/
SUMPRODUCT((Original!$C$3:$C$58='by Product &amp; AIM Area'!H$1)*(Original!$J$2:$AW$2='by Product &amp; AIM Area'!$B21))</f>
        <v>#DIV/0!</v>
      </c>
      <c r="I21" s="11">
        <f>SUMPRODUCT((Original!$C$3:$C$58='by Product &amp; AIM Area'!I$1)*(Original!$O$2:$AW$2='by Product &amp; AIM Area'!$B21)*(Original!$O$3:$AW$58))
/
SUMPRODUCT((Original!$C$3:$C$58='by Product &amp; AIM Area'!I$1)*(Original!$J$2:$AW$2='by Product &amp; AIM Area'!$B21))</f>
        <v>0</v>
      </c>
      <c r="J21" s="11">
        <f>SUMPRODUCT((Original!$C$3:$C$58='by Product &amp; AIM Area'!J$1)*(Original!$O$2:$AW$2='by Product &amp; AIM Area'!$B21)*(Original!$O$3:$AW$58))
/
SUMPRODUCT((Original!$C$3:$C$58='by Product &amp; AIM Area'!J$1)*(Original!$J$2:$AW$2='by Product &amp; AIM Area'!$B21))</f>
        <v>1</v>
      </c>
      <c r="K21" s="11" t="e">
        <f>SUMPRODUCT((Original!$C$3:$C$58='by Product &amp; AIM Area'!K$1)*(Original!$O$2:$AW$2='by Product &amp; AIM Area'!$B21)*(Original!$O$3:$AW$58))
/
SUMPRODUCT((Original!$C$3:$C$58='by Product &amp; AIM Area'!K$1)*(Original!$J$2:$AW$2='by Product &amp; AIM Area'!$B21))</f>
        <v>#DIV/0!</v>
      </c>
      <c r="L21" s="11" t="e">
        <f>SUMPRODUCT((Original!$C$3:$C$58='by Product &amp; AIM Area'!L$1)*(Original!$O$2:$AW$2='by Product &amp; AIM Area'!$B21)*(Original!$O$3:$AW$58))
/
SUMPRODUCT((Original!$C$3:$C$58='by Product &amp; AIM Area'!L$1)*(Original!$J$2:$AW$2='by Product &amp; AIM Area'!$B21))</f>
        <v>#DIV/0!</v>
      </c>
      <c r="M21" s="11">
        <f>SUMPRODUCT((Original!$C$3:$C$58='by Product &amp; AIM Area'!M$1)*(Original!$O$2:$AW$2='by Product &amp; AIM Area'!$B21)*(Original!$O$3:$AW$58))
/
SUMPRODUCT((Original!$C$3:$C$58='by Product &amp; AIM Area'!M$1)*(Original!$J$2:$AW$2='by Product &amp; AIM Area'!$B21))</f>
        <v>0</v>
      </c>
      <c r="N21" s="11" t="e">
        <f>SUMPRODUCT((Original!$C$3:$C$58='by Product &amp; AIM Area'!N$1)*(Original!$O$2:$AW$2='by Product &amp; AIM Area'!$B21)*(Original!$O$3:$AW$58))
/
SUMPRODUCT((Original!$C$3:$C$58='by Product &amp; AIM Area'!N$1)*(Original!$J$2:$AW$2='by Product &amp; AIM Area'!$B21))</f>
        <v>#DIV/0!</v>
      </c>
      <c r="O21" s="11">
        <f>SUMPRODUCT((Original!$C$3:$C$58='by Product &amp; AIM Area'!O$1)*(Original!$O$2:$AW$2='by Product &amp; AIM Area'!$B21)*(Original!$O$3:$AW$58))
/
SUMPRODUCT((Original!$C$3:$C$58='by Product &amp; AIM Area'!O$1)*(Original!$J$2:$AW$2='by Product &amp; AIM Area'!$B21))</f>
        <v>1</v>
      </c>
      <c r="P21" s="11" t="e">
        <f>SUMPRODUCT((Original!$C$3:$C$58='by Product &amp; AIM Area'!P$1)*(Original!$O$2:$AW$2='by Product &amp; AIM Area'!$B21)*(Original!$O$3:$AW$58))
/
SUMPRODUCT((Original!$C$3:$C$58='by Product &amp; AIM Area'!P$1)*(Original!$J$2:$AW$2='by Product &amp; AIM Area'!$B21))</f>
        <v>#DIV/0!</v>
      </c>
      <c r="Q21" s="11">
        <f>SUMPRODUCT((Original!$C$3:$C$58='by Product &amp; AIM Area'!Q$1)*(Original!$O$2:$AW$2='by Product &amp; AIM Area'!$B21)*(Original!$O$3:$AW$58))
/
SUMPRODUCT((Original!$C$3:$C$58='by Product &amp; AIM Area'!Q$1)*(Original!$J$2:$AW$2='by Product &amp; AIM Area'!$B21))</f>
        <v>1</v>
      </c>
      <c r="R21" s="11">
        <f>SUMPRODUCT((Original!$C$3:$C$58='by Product &amp; AIM Area'!R$1)*(Original!$O$2:$AW$2='by Product &amp; AIM Area'!$B21)*(Original!$O$3:$AW$58))
/
SUMPRODUCT((Original!$C$3:$C$58='by Product &amp; AIM Area'!R$1)*(Original!$J$2:$AW$2='by Product &amp; AIM Area'!$B21))</f>
        <v>0.875</v>
      </c>
      <c r="S21" s="11">
        <f>SUMPRODUCT((Original!$C$3:$C$58='by Product &amp; AIM Area'!S$1)*(Original!$O$2:$AW$2='by Product &amp; AIM Area'!$B21)*(Original!$O$3:$AW$58))
/
SUMPRODUCT((Original!$C$3:$C$58='by Product &amp; AIM Area'!S$1)*(Original!$J$2:$AW$2='by Product &amp; AIM Area'!$B21))</f>
        <v>0.75</v>
      </c>
      <c r="T21" s="11">
        <f>SUMPRODUCT((Original!$C$3:$C$58='by Product &amp; AIM Area'!T$1)*(Original!$O$2:$AW$2='by Product &amp; AIM Area'!$B21)*(Original!$O$3:$AW$58))
/
SUMPRODUCT((Original!$C$3:$C$58='by Product &amp; AIM Area'!T$1)*(Original!$J$2:$AW$2='by Product &amp; AIM Area'!$B21))</f>
        <v>0</v>
      </c>
      <c r="U21" s="11" t="e">
        <f>SUMPRODUCT((Original!$C$3:$C$58='by Product &amp; AIM Area'!U$1)*(Original!$O$2:$AW$2='by Product &amp; AIM Area'!$B21)*(Original!$O$3:$AW$58))
/
SUMPRODUCT((Original!$C$3:$C$58='by Product &amp; AIM Area'!U$1)*(Original!$J$2:$AW$2='by Product &amp; AIM Area'!$B21))</f>
        <v>#DIV/0!</v>
      </c>
      <c r="V21" s="11">
        <f>SUMPRODUCT((Original!$C$3:$C$58='by Product &amp; AIM Area'!V$1)*(Original!$O$2:$AW$2='by Product &amp; AIM Area'!$B21)*(Original!$O$3:$AW$58))
/
SUMPRODUCT((Original!$C$3:$C$58='by Product &amp; AIM Area'!V$1)*(Original!$J$2:$AW$2='by Product &amp; AIM Area'!$B21))</f>
        <v>1</v>
      </c>
      <c r="W21" s="11">
        <f>SUMPRODUCT((Original!$C$3:$C$58='by Product &amp; AIM Area'!W$1)*(Original!$O$2:$AW$2='by Product &amp; AIM Area'!$B21)*(Original!$O$3:$AW$58))
/
SUMPRODUCT((Original!$C$3:$C$58='by Product &amp; AIM Area'!W$1)*(Original!$J$2:$AW$2='by Product &amp; AIM Area'!$B21))</f>
        <v>1</v>
      </c>
      <c r="X21" s="11" t="e">
        <f>SUMPRODUCT((Original!$C$3:$C$58='by Product &amp; AIM Area'!X$1)*(Original!$O$2:$AW$2='by Product &amp; AIM Area'!$B21)*(Original!$O$3:$AW$58))
/
SUMPRODUCT((Original!$C$3:$C$58='by Product &amp; AIM Area'!X$1)*(Original!$J$2:$AW$2='by Product &amp; AIM Area'!$B21))</f>
        <v>#DIV/0!</v>
      </c>
      <c r="Y21" s="11" t="e">
        <f>SUMPRODUCT((Original!$C$3:$C$58='by Product &amp; AIM Area'!Y$1)*(Original!$O$2:$AW$2='by Product &amp; AIM Area'!$B21)*(Original!$O$3:$AW$58))
/
SUMPRODUCT((Original!$C$3:$C$58='by Product &amp; AIM Area'!Y$1)*(Original!$J$2:$AW$2='by Product &amp; AIM Area'!$B21))</f>
        <v>#DIV/0!</v>
      </c>
      <c r="Z21" s="11">
        <f>SUMPRODUCT((Original!$C$3:$C$58='by Product &amp; AIM Area'!Z$1)*(Original!$O$2:$AW$2='by Product &amp; AIM Area'!$B21)*(Original!$O$3:$AW$58))
/
SUMPRODUCT((Original!$C$3:$C$58='by Product &amp; AIM Area'!Z$1)*(Original!$J$2:$AW$2='by Product &amp; AIM Area'!$B21))</f>
        <v>1</v>
      </c>
      <c r="AA21" s="11">
        <f>SUMPRODUCT((Original!$C$3:$C$58='by Product &amp; AIM Area'!AA$1)*(Original!$O$2:$AW$2='by Product &amp; AIM Area'!$B21)*(Original!$O$3:$AW$58))
/
SUMPRODUCT((Original!$C$3:$C$58='by Product &amp; AIM Area'!AA$1)*(Original!$J$2:$AW$2='by Product &amp; AIM Area'!$B21))</f>
        <v>0</v>
      </c>
      <c r="AB21" s="11">
        <f>SUMPRODUCT((Original!$C$3:$C$58='by Product &amp; AIM Area'!AB$1)*(Original!$O$2:$AW$2='by Product &amp; AIM Area'!$B21)*(Original!$O$3:$AW$58))
/
SUMPRODUCT((Original!$C$3:$C$58='by Product &amp; AIM Area'!AB$1)*(Original!$J$2:$AW$2='by Product &amp; AIM Area'!$B21))</f>
        <v>0</v>
      </c>
      <c r="AC21" s="11">
        <f>SUMPRODUCT((Original!$C$3:$C$58='by Product &amp; AIM Area'!AC$1)*(Original!$O$2:$AW$2='by Product &amp; AIM Area'!$B21)*(Original!$O$3:$AW$58))
/
SUMPRODUCT((Original!$C$3:$C$58='by Product &amp; AIM Area'!AC$1)*(Original!$J$2:$AW$2='by Product &amp; AIM Area'!$B21))</f>
        <v>0</v>
      </c>
      <c r="AD21" s="11" t="e">
        <f t="shared" si="0"/>
        <v>#DIV/0!</v>
      </c>
    </row>
    <row r="22" spans="1:30" ht="30">
      <c r="A22" s="11" t="s">
        <v>3</v>
      </c>
      <c r="B22" s="11" t="s">
        <v>42</v>
      </c>
      <c r="C22" s="11">
        <f>SUMPRODUCT((Original!$C$3:$C$58='by Product &amp; AIM Area'!C$1)*(Original!$O$2:$AW$2='by Product &amp; AIM Area'!$B22)*(Original!$O$3:$AW$58))
/
SUMPRODUCT((Original!$C$3:$C$58='by Product &amp; AIM Area'!C$1)*(Original!$J$2:$AW$2='by Product &amp; AIM Area'!$B22))</f>
        <v>1</v>
      </c>
      <c r="D22" s="11">
        <f>SUMPRODUCT((Original!$C$3:$C$58='by Product &amp; AIM Area'!D$1)*(Original!$O$2:$AW$2='by Product &amp; AIM Area'!$B22)*(Original!$O$3:$AW$58))
/
SUMPRODUCT((Original!$C$3:$C$58='by Product &amp; AIM Area'!D$1)*(Original!$J$2:$AW$2='by Product &amp; AIM Area'!$B22))</f>
        <v>1</v>
      </c>
      <c r="E22" s="11">
        <f>SUMPRODUCT((Original!$C$3:$C$58='by Product &amp; AIM Area'!E$1)*(Original!$O$2:$AW$2='by Product &amp; AIM Area'!$B22)*(Original!$O$3:$AW$58))
/
SUMPRODUCT((Original!$C$3:$C$58='by Product &amp; AIM Area'!E$1)*(Original!$J$2:$AW$2='by Product &amp; AIM Area'!$B22))</f>
        <v>1</v>
      </c>
      <c r="F22" s="11" t="e">
        <f>SUMPRODUCT((Original!$C$3:$C$58='by Product &amp; AIM Area'!F$1)*(Original!$O$2:$AW$2='by Product &amp; AIM Area'!$B22)*(Original!$O$3:$AW$58))
/
SUMPRODUCT((Original!$C$3:$C$58='by Product &amp; AIM Area'!F$1)*(Original!$J$2:$AW$2='by Product &amp; AIM Area'!$B22))</f>
        <v>#DIV/0!</v>
      </c>
      <c r="G22" s="11" t="e">
        <f>SUMPRODUCT((Original!$C$3:$C$58='by Product &amp; AIM Area'!G$1)*(Original!$O$2:$AW$2='by Product &amp; AIM Area'!$B22)*(Original!$O$3:$AW$58))
/
SUMPRODUCT((Original!$C$3:$C$58='by Product &amp; AIM Area'!G$1)*(Original!$J$2:$AW$2='by Product &amp; AIM Area'!$B22))</f>
        <v>#DIV/0!</v>
      </c>
      <c r="H22" s="11" t="e">
        <f>SUMPRODUCT((Original!$C$3:$C$58='by Product &amp; AIM Area'!H$1)*(Original!$O$2:$AW$2='by Product &amp; AIM Area'!$B22)*(Original!$O$3:$AW$58))
/
SUMPRODUCT((Original!$C$3:$C$58='by Product &amp; AIM Area'!H$1)*(Original!$J$2:$AW$2='by Product &amp; AIM Area'!$B22))</f>
        <v>#DIV/0!</v>
      </c>
      <c r="I22" s="11">
        <f>SUMPRODUCT((Original!$C$3:$C$58='by Product &amp; AIM Area'!I$1)*(Original!$O$2:$AW$2='by Product &amp; AIM Area'!$B22)*(Original!$O$3:$AW$58))
/
SUMPRODUCT((Original!$C$3:$C$58='by Product &amp; AIM Area'!I$1)*(Original!$J$2:$AW$2='by Product &amp; AIM Area'!$B22))</f>
        <v>1</v>
      </c>
      <c r="J22" s="11">
        <f>SUMPRODUCT((Original!$C$3:$C$58='by Product &amp; AIM Area'!J$1)*(Original!$O$2:$AW$2='by Product &amp; AIM Area'!$B22)*(Original!$O$3:$AW$58))
/
SUMPRODUCT((Original!$C$3:$C$58='by Product &amp; AIM Area'!J$1)*(Original!$J$2:$AW$2='by Product &amp; AIM Area'!$B22))</f>
        <v>1</v>
      </c>
      <c r="K22" s="11" t="e">
        <f>SUMPRODUCT((Original!$C$3:$C$58='by Product &amp; AIM Area'!K$1)*(Original!$O$2:$AW$2='by Product &amp; AIM Area'!$B22)*(Original!$O$3:$AW$58))
/
SUMPRODUCT((Original!$C$3:$C$58='by Product &amp; AIM Area'!K$1)*(Original!$J$2:$AW$2='by Product &amp; AIM Area'!$B22))</f>
        <v>#DIV/0!</v>
      </c>
      <c r="L22" s="11" t="e">
        <f>SUMPRODUCT((Original!$C$3:$C$58='by Product &amp; AIM Area'!L$1)*(Original!$O$2:$AW$2='by Product &amp; AIM Area'!$B22)*(Original!$O$3:$AW$58))
/
SUMPRODUCT((Original!$C$3:$C$58='by Product &amp; AIM Area'!L$1)*(Original!$J$2:$AW$2='by Product &amp; AIM Area'!$B22))</f>
        <v>#DIV/0!</v>
      </c>
      <c r="M22" s="11">
        <f>SUMPRODUCT((Original!$C$3:$C$58='by Product &amp; AIM Area'!M$1)*(Original!$O$2:$AW$2='by Product &amp; AIM Area'!$B22)*(Original!$O$3:$AW$58))
/
SUMPRODUCT((Original!$C$3:$C$58='by Product &amp; AIM Area'!M$1)*(Original!$J$2:$AW$2='by Product &amp; AIM Area'!$B22))</f>
        <v>0</v>
      </c>
      <c r="N22" s="11" t="e">
        <f>SUMPRODUCT((Original!$C$3:$C$58='by Product &amp; AIM Area'!N$1)*(Original!$O$2:$AW$2='by Product &amp; AIM Area'!$B22)*(Original!$O$3:$AW$58))
/
SUMPRODUCT((Original!$C$3:$C$58='by Product &amp; AIM Area'!N$1)*(Original!$J$2:$AW$2='by Product &amp; AIM Area'!$B22))</f>
        <v>#DIV/0!</v>
      </c>
      <c r="O22" s="11">
        <f>SUMPRODUCT((Original!$C$3:$C$58='by Product &amp; AIM Area'!O$1)*(Original!$O$2:$AW$2='by Product &amp; AIM Area'!$B22)*(Original!$O$3:$AW$58))
/
SUMPRODUCT((Original!$C$3:$C$58='by Product &amp; AIM Area'!O$1)*(Original!$J$2:$AW$2='by Product &amp; AIM Area'!$B22))</f>
        <v>1</v>
      </c>
      <c r="P22" s="11" t="e">
        <f>SUMPRODUCT((Original!$C$3:$C$58='by Product &amp; AIM Area'!P$1)*(Original!$O$2:$AW$2='by Product &amp; AIM Area'!$B22)*(Original!$O$3:$AW$58))
/
SUMPRODUCT((Original!$C$3:$C$58='by Product &amp; AIM Area'!P$1)*(Original!$J$2:$AW$2='by Product &amp; AIM Area'!$B22))</f>
        <v>#DIV/0!</v>
      </c>
      <c r="Q22" s="11">
        <f>SUMPRODUCT((Original!$C$3:$C$58='by Product &amp; AIM Area'!Q$1)*(Original!$O$2:$AW$2='by Product &amp; AIM Area'!$B22)*(Original!$O$3:$AW$58))
/
SUMPRODUCT((Original!$C$3:$C$58='by Product &amp; AIM Area'!Q$1)*(Original!$J$2:$AW$2='by Product &amp; AIM Area'!$B22))</f>
        <v>0</v>
      </c>
      <c r="R22" s="11">
        <f>SUMPRODUCT((Original!$C$3:$C$58='by Product &amp; AIM Area'!R$1)*(Original!$O$2:$AW$2='by Product &amp; AIM Area'!$B22)*(Original!$O$3:$AW$58))
/
SUMPRODUCT((Original!$C$3:$C$58='by Product &amp; AIM Area'!R$1)*(Original!$J$2:$AW$2='by Product &amp; AIM Area'!$B22))</f>
        <v>0.75</v>
      </c>
      <c r="S22" s="11">
        <f>SUMPRODUCT((Original!$C$3:$C$58='by Product &amp; AIM Area'!S$1)*(Original!$O$2:$AW$2='by Product &amp; AIM Area'!$B22)*(Original!$O$3:$AW$58))
/
SUMPRODUCT((Original!$C$3:$C$58='by Product &amp; AIM Area'!S$1)*(Original!$J$2:$AW$2='by Product &amp; AIM Area'!$B22))</f>
        <v>0.875</v>
      </c>
      <c r="T22" s="11">
        <f>SUMPRODUCT((Original!$C$3:$C$58='by Product &amp; AIM Area'!T$1)*(Original!$O$2:$AW$2='by Product &amp; AIM Area'!$B22)*(Original!$O$3:$AW$58))
/
SUMPRODUCT((Original!$C$3:$C$58='by Product &amp; AIM Area'!T$1)*(Original!$J$2:$AW$2='by Product &amp; AIM Area'!$B22))</f>
        <v>1</v>
      </c>
      <c r="U22" s="11" t="e">
        <f>SUMPRODUCT((Original!$C$3:$C$58='by Product &amp; AIM Area'!U$1)*(Original!$O$2:$AW$2='by Product &amp; AIM Area'!$B22)*(Original!$O$3:$AW$58))
/
SUMPRODUCT((Original!$C$3:$C$58='by Product &amp; AIM Area'!U$1)*(Original!$J$2:$AW$2='by Product &amp; AIM Area'!$B22))</f>
        <v>#DIV/0!</v>
      </c>
      <c r="V22" s="11">
        <f>SUMPRODUCT((Original!$C$3:$C$58='by Product &amp; AIM Area'!V$1)*(Original!$O$2:$AW$2='by Product &amp; AIM Area'!$B22)*(Original!$O$3:$AW$58))
/
SUMPRODUCT((Original!$C$3:$C$58='by Product &amp; AIM Area'!V$1)*(Original!$J$2:$AW$2='by Product &amp; AIM Area'!$B22))</f>
        <v>1</v>
      </c>
      <c r="W22" s="11">
        <f>SUMPRODUCT((Original!$C$3:$C$58='by Product &amp; AIM Area'!W$1)*(Original!$O$2:$AW$2='by Product &amp; AIM Area'!$B22)*(Original!$O$3:$AW$58))
/
SUMPRODUCT((Original!$C$3:$C$58='by Product &amp; AIM Area'!W$1)*(Original!$J$2:$AW$2='by Product &amp; AIM Area'!$B22))</f>
        <v>1</v>
      </c>
      <c r="X22" s="11" t="e">
        <f>SUMPRODUCT((Original!$C$3:$C$58='by Product &amp; AIM Area'!X$1)*(Original!$O$2:$AW$2='by Product &amp; AIM Area'!$B22)*(Original!$O$3:$AW$58))
/
SUMPRODUCT((Original!$C$3:$C$58='by Product &amp; AIM Area'!X$1)*(Original!$J$2:$AW$2='by Product &amp; AIM Area'!$B22))</f>
        <v>#DIV/0!</v>
      </c>
      <c r="Y22" s="11" t="e">
        <f>SUMPRODUCT((Original!$C$3:$C$58='by Product &amp; AIM Area'!Y$1)*(Original!$O$2:$AW$2='by Product &amp; AIM Area'!$B22)*(Original!$O$3:$AW$58))
/
SUMPRODUCT((Original!$C$3:$C$58='by Product &amp; AIM Area'!Y$1)*(Original!$J$2:$AW$2='by Product &amp; AIM Area'!$B22))</f>
        <v>#DIV/0!</v>
      </c>
      <c r="Z22" s="11">
        <f>SUMPRODUCT((Original!$C$3:$C$58='by Product &amp; AIM Area'!Z$1)*(Original!$O$2:$AW$2='by Product &amp; AIM Area'!$B22)*(Original!$O$3:$AW$58))
/
SUMPRODUCT((Original!$C$3:$C$58='by Product &amp; AIM Area'!Z$1)*(Original!$J$2:$AW$2='by Product &amp; AIM Area'!$B22))</f>
        <v>1</v>
      </c>
      <c r="AA22" s="11">
        <f>SUMPRODUCT((Original!$C$3:$C$58='by Product &amp; AIM Area'!AA$1)*(Original!$O$2:$AW$2='by Product &amp; AIM Area'!$B22)*(Original!$O$3:$AW$58))
/
SUMPRODUCT((Original!$C$3:$C$58='by Product &amp; AIM Area'!AA$1)*(Original!$J$2:$AW$2='by Product &amp; AIM Area'!$B22))</f>
        <v>1</v>
      </c>
      <c r="AB22" s="11">
        <f>SUMPRODUCT((Original!$C$3:$C$58='by Product &amp; AIM Area'!AB$1)*(Original!$O$2:$AW$2='by Product &amp; AIM Area'!$B22)*(Original!$O$3:$AW$58))
/
SUMPRODUCT((Original!$C$3:$C$58='by Product &amp; AIM Area'!AB$1)*(Original!$J$2:$AW$2='by Product &amp; AIM Area'!$B22))</f>
        <v>0</v>
      </c>
      <c r="AC22" s="11">
        <f>SUMPRODUCT((Original!$C$3:$C$58='by Product &amp; AIM Area'!AC$1)*(Original!$O$2:$AW$2='by Product &amp; AIM Area'!$B22)*(Original!$O$3:$AW$58))
/
SUMPRODUCT((Original!$C$3:$C$58='by Product &amp; AIM Area'!AC$1)*(Original!$J$2:$AW$2='by Product &amp; AIM Area'!$B22))</f>
        <v>0</v>
      </c>
      <c r="AD22" s="11" t="e">
        <f t="shared" si="0"/>
        <v>#DIV/0!</v>
      </c>
    </row>
    <row r="23" spans="1:30" ht="45">
      <c r="A23" s="11" t="s">
        <v>3</v>
      </c>
      <c r="B23" s="11" t="s">
        <v>43</v>
      </c>
      <c r="C23" s="11">
        <f>SUMPRODUCT((Original!$C$3:$C$58='by Product &amp; AIM Area'!C$1)*(Original!$O$2:$AW$2='by Product &amp; AIM Area'!$B23)*(Original!$O$3:$AW$58))
/
SUMPRODUCT((Original!$C$3:$C$58='by Product &amp; AIM Area'!C$1)*(Original!$J$2:$AW$2='by Product &amp; AIM Area'!$B23))</f>
        <v>3</v>
      </c>
      <c r="D23" s="11">
        <f>SUMPRODUCT((Original!$C$3:$C$58='by Product &amp; AIM Area'!D$1)*(Original!$O$2:$AW$2='by Product &amp; AIM Area'!$B23)*(Original!$O$3:$AW$58))
/
SUMPRODUCT((Original!$C$3:$C$58='by Product &amp; AIM Area'!D$1)*(Original!$J$2:$AW$2='by Product &amp; AIM Area'!$B23))</f>
        <v>1</v>
      </c>
      <c r="E23" s="11">
        <f>SUMPRODUCT((Original!$C$3:$C$58='by Product &amp; AIM Area'!E$1)*(Original!$O$2:$AW$2='by Product &amp; AIM Area'!$B23)*(Original!$O$3:$AW$58))
/
SUMPRODUCT((Original!$C$3:$C$58='by Product &amp; AIM Area'!E$1)*(Original!$J$2:$AW$2='by Product &amp; AIM Area'!$B23))</f>
        <v>0</v>
      </c>
      <c r="F23" s="11" t="e">
        <f>SUMPRODUCT((Original!$C$3:$C$58='by Product &amp; AIM Area'!F$1)*(Original!$O$2:$AW$2='by Product &amp; AIM Area'!$B23)*(Original!$O$3:$AW$58))
/
SUMPRODUCT((Original!$C$3:$C$58='by Product &amp; AIM Area'!F$1)*(Original!$J$2:$AW$2='by Product &amp; AIM Area'!$B23))</f>
        <v>#DIV/0!</v>
      </c>
      <c r="G23" s="11" t="e">
        <f>SUMPRODUCT((Original!$C$3:$C$58='by Product &amp; AIM Area'!G$1)*(Original!$O$2:$AW$2='by Product &amp; AIM Area'!$B23)*(Original!$O$3:$AW$58))
/
SUMPRODUCT((Original!$C$3:$C$58='by Product &amp; AIM Area'!G$1)*(Original!$J$2:$AW$2='by Product &amp; AIM Area'!$B23))</f>
        <v>#DIV/0!</v>
      </c>
      <c r="H23" s="11" t="e">
        <f>SUMPRODUCT((Original!$C$3:$C$58='by Product &amp; AIM Area'!H$1)*(Original!$O$2:$AW$2='by Product &amp; AIM Area'!$B23)*(Original!$O$3:$AW$58))
/
SUMPRODUCT((Original!$C$3:$C$58='by Product &amp; AIM Area'!H$1)*(Original!$J$2:$AW$2='by Product &amp; AIM Area'!$B23))</f>
        <v>#DIV/0!</v>
      </c>
      <c r="I23" s="11">
        <f>SUMPRODUCT((Original!$C$3:$C$58='by Product &amp; AIM Area'!I$1)*(Original!$O$2:$AW$2='by Product &amp; AIM Area'!$B23)*(Original!$O$3:$AW$58))
/
SUMPRODUCT((Original!$C$3:$C$58='by Product &amp; AIM Area'!I$1)*(Original!$J$2:$AW$2='by Product &amp; AIM Area'!$B23))</f>
        <v>1</v>
      </c>
      <c r="J23" s="11">
        <f>SUMPRODUCT((Original!$C$3:$C$58='by Product &amp; AIM Area'!J$1)*(Original!$O$2:$AW$2='by Product &amp; AIM Area'!$B23)*(Original!$O$3:$AW$58))
/
SUMPRODUCT((Original!$C$3:$C$58='by Product &amp; AIM Area'!J$1)*(Original!$J$2:$AW$2='by Product &amp; AIM Area'!$B23))</f>
        <v>1</v>
      </c>
      <c r="K23" s="11" t="e">
        <f>SUMPRODUCT((Original!$C$3:$C$58='by Product &amp; AIM Area'!K$1)*(Original!$O$2:$AW$2='by Product &amp; AIM Area'!$B23)*(Original!$O$3:$AW$58))
/
SUMPRODUCT((Original!$C$3:$C$58='by Product &amp; AIM Area'!K$1)*(Original!$J$2:$AW$2='by Product &amp; AIM Area'!$B23))</f>
        <v>#DIV/0!</v>
      </c>
      <c r="L23" s="11" t="e">
        <f>SUMPRODUCT((Original!$C$3:$C$58='by Product &amp; AIM Area'!L$1)*(Original!$O$2:$AW$2='by Product &amp; AIM Area'!$B23)*(Original!$O$3:$AW$58))
/
SUMPRODUCT((Original!$C$3:$C$58='by Product &amp; AIM Area'!L$1)*(Original!$J$2:$AW$2='by Product &amp; AIM Area'!$B23))</f>
        <v>#DIV/0!</v>
      </c>
      <c r="M23" s="11">
        <f>SUMPRODUCT((Original!$C$3:$C$58='by Product &amp; AIM Area'!M$1)*(Original!$O$2:$AW$2='by Product &amp; AIM Area'!$B23)*(Original!$O$3:$AW$58))
/
SUMPRODUCT((Original!$C$3:$C$58='by Product &amp; AIM Area'!M$1)*(Original!$J$2:$AW$2='by Product &amp; AIM Area'!$B23))</f>
        <v>1</v>
      </c>
      <c r="N23" s="11" t="e">
        <f>SUMPRODUCT((Original!$C$3:$C$58='by Product &amp; AIM Area'!N$1)*(Original!$O$2:$AW$2='by Product &amp; AIM Area'!$B23)*(Original!$O$3:$AW$58))
/
SUMPRODUCT((Original!$C$3:$C$58='by Product &amp; AIM Area'!N$1)*(Original!$J$2:$AW$2='by Product &amp; AIM Area'!$B23))</f>
        <v>#DIV/0!</v>
      </c>
      <c r="O23" s="11">
        <f>SUMPRODUCT((Original!$C$3:$C$58='by Product &amp; AIM Area'!O$1)*(Original!$O$2:$AW$2='by Product &amp; AIM Area'!$B23)*(Original!$O$3:$AW$58))
/
SUMPRODUCT((Original!$C$3:$C$58='by Product &amp; AIM Area'!O$1)*(Original!$J$2:$AW$2='by Product &amp; AIM Area'!$B23))</f>
        <v>3</v>
      </c>
      <c r="P23" s="11" t="e">
        <f>SUMPRODUCT((Original!$C$3:$C$58='by Product &amp; AIM Area'!P$1)*(Original!$O$2:$AW$2='by Product &amp; AIM Area'!$B23)*(Original!$O$3:$AW$58))
/
SUMPRODUCT((Original!$C$3:$C$58='by Product &amp; AIM Area'!P$1)*(Original!$J$2:$AW$2='by Product &amp; AIM Area'!$B23))</f>
        <v>#DIV/0!</v>
      </c>
      <c r="Q23" s="11">
        <f>SUMPRODUCT((Original!$C$3:$C$58='by Product &amp; AIM Area'!Q$1)*(Original!$O$2:$AW$2='by Product &amp; AIM Area'!$B23)*(Original!$O$3:$AW$58))
/
SUMPRODUCT((Original!$C$3:$C$58='by Product &amp; AIM Area'!Q$1)*(Original!$J$2:$AW$2='by Product &amp; AIM Area'!$B23))</f>
        <v>3</v>
      </c>
      <c r="R23" s="11">
        <f>SUMPRODUCT((Original!$C$3:$C$58='by Product &amp; AIM Area'!R$1)*(Original!$O$2:$AW$2='by Product &amp; AIM Area'!$B23)*(Original!$O$3:$AW$58))
/
SUMPRODUCT((Original!$C$3:$C$58='by Product &amp; AIM Area'!R$1)*(Original!$J$2:$AW$2='by Product &amp; AIM Area'!$B23))</f>
        <v>1.625</v>
      </c>
      <c r="S23" s="11">
        <f>SUMPRODUCT((Original!$C$3:$C$58='by Product &amp; AIM Area'!S$1)*(Original!$O$2:$AW$2='by Product &amp; AIM Area'!$B23)*(Original!$O$3:$AW$58))
/
SUMPRODUCT((Original!$C$3:$C$58='by Product &amp; AIM Area'!S$1)*(Original!$J$2:$AW$2='by Product &amp; AIM Area'!$B23))</f>
        <v>1.125</v>
      </c>
      <c r="T23" s="11">
        <f>SUMPRODUCT((Original!$C$3:$C$58='by Product &amp; AIM Area'!T$1)*(Original!$O$2:$AW$2='by Product &amp; AIM Area'!$B23)*(Original!$O$3:$AW$58))
/
SUMPRODUCT((Original!$C$3:$C$58='by Product &amp; AIM Area'!T$1)*(Original!$J$2:$AW$2='by Product &amp; AIM Area'!$B23))</f>
        <v>1</v>
      </c>
      <c r="U23" s="11" t="e">
        <f>SUMPRODUCT((Original!$C$3:$C$58='by Product &amp; AIM Area'!U$1)*(Original!$O$2:$AW$2='by Product &amp; AIM Area'!$B23)*(Original!$O$3:$AW$58))
/
SUMPRODUCT((Original!$C$3:$C$58='by Product &amp; AIM Area'!U$1)*(Original!$J$2:$AW$2='by Product &amp; AIM Area'!$B23))</f>
        <v>#DIV/0!</v>
      </c>
      <c r="V23" s="11">
        <f>SUMPRODUCT((Original!$C$3:$C$58='by Product &amp; AIM Area'!V$1)*(Original!$O$2:$AW$2='by Product &amp; AIM Area'!$B23)*(Original!$O$3:$AW$58))
/
SUMPRODUCT((Original!$C$3:$C$58='by Product &amp; AIM Area'!V$1)*(Original!$J$2:$AW$2='by Product &amp; AIM Area'!$B23))</f>
        <v>1</v>
      </c>
      <c r="W23" s="11">
        <f>SUMPRODUCT((Original!$C$3:$C$58='by Product &amp; AIM Area'!W$1)*(Original!$O$2:$AW$2='by Product &amp; AIM Area'!$B23)*(Original!$O$3:$AW$58))
/
SUMPRODUCT((Original!$C$3:$C$58='by Product &amp; AIM Area'!W$1)*(Original!$J$2:$AW$2='by Product &amp; AIM Area'!$B23))</f>
        <v>1</v>
      </c>
      <c r="X23" s="11" t="e">
        <f>SUMPRODUCT((Original!$C$3:$C$58='by Product &amp; AIM Area'!X$1)*(Original!$O$2:$AW$2='by Product &amp; AIM Area'!$B23)*(Original!$O$3:$AW$58))
/
SUMPRODUCT((Original!$C$3:$C$58='by Product &amp; AIM Area'!X$1)*(Original!$J$2:$AW$2='by Product &amp; AIM Area'!$B23))</f>
        <v>#DIV/0!</v>
      </c>
      <c r="Y23" s="11" t="e">
        <f>SUMPRODUCT((Original!$C$3:$C$58='by Product &amp; AIM Area'!Y$1)*(Original!$O$2:$AW$2='by Product &amp; AIM Area'!$B23)*(Original!$O$3:$AW$58))
/
SUMPRODUCT((Original!$C$3:$C$58='by Product &amp; AIM Area'!Y$1)*(Original!$J$2:$AW$2='by Product &amp; AIM Area'!$B23))</f>
        <v>#DIV/0!</v>
      </c>
      <c r="Z23" s="11">
        <f>SUMPRODUCT((Original!$C$3:$C$58='by Product &amp; AIM Area'!Z$1)*(Original!$O$2:$AW$2='by Product &amp; AIM Area'!$B23)*(Original!$O$3:$AW$58))
/
SUMPRODUCT((Original!$C$3:$C$58='by Product &amp; AIM Area'!Z$1)*(Original!$J$2:$AW$2='by Product &amp; AIM Area'!$B23))</f>
        <v>1</v>
      </c>
      <c r="AA23" s="11">
        <f>SUMPRODUCT((Original!$C$3:$C$58='by Product &amp; AIM Area'!AA$1)*(Original!$O$2:$AW$2='by Product &amp; AIM Area'!$B23)*(Original!$O$3:$AW$58))
/
SUMPRODUCT((Original!$C$3:$C$58='by Product &amp; AIM Area'!AA$1)*(Original!$J$2:$AW$2='by Product &amp; AIM Area'!$B23))</f>
        <v>1</v>
      </c>
      <c r="AB23" s="11">
        <f>SUMPRODUCT((Original!$C$3:$C$58='by Product &amp; AIM Area'!AB$1)*(Original!$O$2:$AW$2='by Product &amp; AIM Area'!$B23)*(Original!$O$3:$AW$58))
/
SUMPRODUCT((Original!$C$3:$C$58='by Product &amp; AIM Area'!AB$1)*(Original!$J$2:$AW$2='by Product &amp; AIM Area'!$B23))</f>
        <v>0</v>
      </c>
      <c r="AC23" s="11">
        <f>SUMPRODUCT((Original!$C$3:$C$58='by Product &amp; AIM Area'!AC$1)*(Original!$O$2:$AW$2='by Product &amp; AIM Area'!$B23)*(Original!$O$3:$AW$58))
/
SUMPRODUCT((Original!$C$3:$C$58='by Product &amp; AIM Area'!AC$1)*(Original!$J$2:$AW$2='by Product &amp; AIM Area'!$B23))</f>
        <v>1</v>
      </c>
      <c r="AD23" s="11" t="e">
        <f t="shared" si="0"/>
        <v>#DIV/0!</v>
      </c>
    </row>
    <row r="24" spans="1:30" ht="60">
      <c r="A24" s="11" t="s">
        <v>4</v>
      </c>
      <c r="B24" s="11" t="s">
        <v>44</v>
      </c>
      <c r="C24" s="11">
        <f>SUMPRODUCT((Original!$C$3:$C$58='by Product &amp; AIM Area'!C$1)*(Original!$O$2:$AW$2='by Product &amp; AIM Area'!$B24)*(Original!$O$3:$AW$58))
/
SUMPRODUCT((Original!$C$3:$C$58='by Product &amp; AIM Area'!C$1)*(Original!$J$2:$AW$2='by Product &amp; AIM Area'!$B24))</f>
        <v>3</v>
      </c>
      <c r="D24" s="11">
        <f>SUMPRODUCT((Original!$C$3:$C$58='by Product &amp; AIM Area'!D$1)*(Original!$O$2:$AW$2='by Product &amp; AIM Area'!$B24)*(Original!$O$3:$AW$58))
/
SUMPRODUCT((Original!$C$3:$C$58='by Product &amp; AIM Area'!D$1)*(Original!$J$2:$AW$2='by Product &amp; AIM Area'!$B24))</f>
        <v>3</v>
      </c>
      <c r="E24" s="11">
        <f>SUMPRODUCT((Original!$C$3:$C$58='by Product &amp; AIM Area'!E$1)*(Original!$O$2:$AW$2='by Product &amp; AIM Area'!$B24)*(Original!$O$3:$AW$58))
/
SUMPRODUCT((Original!$C$3:$C$58='by Product &amp; AIM Area'!E$1)*(Original!$J$2:$AW$2='by Product &amp; AIM Area'!$B24))</f>
        <v>3</v>
      </c>
      <c r="F24" s="11" t="e">
        <f>SUMPRODUCT((Original!$C$3:$C$58='by Product &amp; AIM Area'!F$1)*(Original!$O$2:$AW$2='by Product &amp; AIM Area'!$B24)*(Original!$O$3:$AW$58))
/
SUMPRODUCT((Original!$C$3:$C$58='by Product &amp; AIM Area'!F$1)*(Original!$J$2:$AW$2='by Product &amp; AIM Area'!$B24))</f>
        <v>#DIV/0!</v>
      </c>
      <c r="G24" s="11" t="e">
        <f>SUMPRODUCT((Original!$C$3:$C$58='by Product &amp; AIM Area'!G$1)*(Original!$O$2:$AW$2='by Product &amp; AIM Area'!$B24)*(Original!$O$3:$AW$58))
/
SUMPRODUCT((Original!$C$3:$C$58='by Product &amp; AIM Area'!G$1)*(Original!$J$2:$AW$2='by Product &amp; AIM Area'!$B24))</f>
        <v>#DIV/0!</v>
      </c>
      <c r="H24" s="11" t="e">
        <f>SUMPRODUCT((Original!$C$3:$C$58='by Product &amp; AIM Area'!H$1)*(Original!$O$2:$AW$2='by Product &amp; AIM Area'!$B24)*(Original!$O$3:$AW$58))
/
SUMPRODUCT((Original!$C$3:$C$58='by Product &amp; AIM Area'!H$1)*(Original!$J$2:$AW$2='by Product &amp; AIM Area'!$B24))</f>
        <v>#DIV/0!</v>
      </c>
      <c r="I24" s="11">
        <f>SUMPRODUCT((Original!$C$3:$C$58='by Product &amp; AIM Area'!I$1)*(Original!$O$2:$AW$2='by Product &amp; AIM Area'!$B24)*(Original!$O$3:$AW$58))
/
SUMPRODUCT((Original!$C$3:$C$58='by Product &amp; AIM Area'!I$1)*(Original!$J$2:$AW$2='by Product &amp; AIM Area'!$B24))</f>
        <v>3</v>
      </c>
      <c r="J24" s="11">
        <f>SUMPRODUCT((Original!$C$3:$C$58='by Product &amp; AIM Area'!J$1)*(Original!$O$2:$AW$2='by Product &amp; AIM Area'!$B24)*(Original!$O$3:$AW$58))
/
SUMPRODUCT((Original!$C$3:$C$58='by Product &amp; AIM Area'!J$1)*(Original!$J$2:$AW$2='by Product &amp; AIM Area'!$B24))</f>
        <v>3</v>
      </c>
      <c r="K24" s="11" t="e">
        <f>SUMPRODUCT((Original!$C$3:$C$58='by Product &amp; AIM Area'!K$1)*(Original!$O$2:$AW$2='by Product &amp; AIM Area'!$B24)*(Original!$O$3:$AW$58))
/
SUMPRODUCT((Original!$C$3:$C$58='by Product &amp; AIM Area'!K$1)*(Original!$J$2:$AW$2='by Product &amp; AIM Area'!$B24))</f>
        <v>#DIV/0!</v>
      </c>
      <c r="L24" s="11" t="e">
        <f>SUMPRODUCT((Original!$C$3:$C$58='by Product &amp; AIM Area'!L$1)*(Original!$O$2:$AW$2='by Product &amp; AIM Area'!$B24)*(Original!$O$3:$AW$58))
/
SUMPRODUCT((Original!$C$3:$C$58='by Product &amp; AIM Area'!L$1)*(Original!$J$2:$AW$2='by Product &amp; AIM Area'!$B24))</f>
        <v>#DIV/0!</v>
      </c>
      <c r="M24" s="11">
        <f>SUMPRODUCT((Original!$C$3:$C$58='by Product &amp; AIM Area'!M$1)*(Original!$O$2:$AW$2='by Product &amp; AIM Area'!$B24)*(Original!$O$3:$AW$58))
/
SUMPRODUCT((Original!$C$3:$C$58='by Product &amp; AIM Area'!M$1)*(Original!$J$2:$AW$2='by Product &amp; AIM Area'!$B24))</f>
        <v>0</v>
      </c>
      <c r="N24" s="11" t="e">
        <f>SUMPRODUCT((Original!$C$3:$C$58='by Product &amp; AIM Area'!N$1)*(Original!$O$2:$AW$2='by Product &amp; AIM Area'!$B24)*(Original!$O$3:$AW$58))
/
SUMPRODUCT((Original!$C$3:$C$58='by Product &amp; AIM Area'!N$1)*(Original!$J$2:$AW$2='by Product &amp; AIM Area'!$B24))</f>
        <v>#DIV/0!</v>
      </c>
      <c r="O24" s="11">
        <f>SUMPRODUCT((Original!$C$3:$C$58='by Product &amp; AIM Area'!O$1)*(Original!$O$2:$AW$2='by Product &amp; AIM Area'!$B24)*(Original!$O$3:$AW$58))
/
SUMPRODUCT((Original!$C$3:$C$58='by Product &amp; AIM Area'!O$1)*(Original!$J$2:$AW$2='by Product &amp; AIM Area'!$B24))</f>
        <v>3</v>
      </c>
      <c r="P24" s="11" t="e">
        <f>SUMPRODUCT((Original!$C$3:$C$58='by Product &amp; AIM Area'!P$1)*(Original!$O$2:$AW$2='by Product &amp; AIM Area'!$B24)*(Original!$O$3:$AW$58))
/
SUMPRODUCT((Original!$C$3:$C$58='by Product &amp; AIM Area'!P$1)*(Original!$J$2:$AW$2='by Product &amp; AIM Area'!$B24))</f>
        <v>#DIV/0!</v>
      </c>
      <c r="Q24" s="11">
        <f>SUMPRODUCT((Original!$C$3:$C$58='by Product &amp; AIM Area'!Q$1)*(Original!$O$2:$AW$2='by Product &amp; AIM Area'!$B24)*(Original!$O$3:$AW$58))
/
SUMPRODUCT((Original!$C$3:$C$58='by Product &amp; AIM Area'!Q$1)*(Original!$J$2:$AW$2='by Product &amp; AIM Area'!$B24))</f>
        <v>3</v>
      </c>
      <c r="R24" s="11">
        <f>SUMPRODUCT((Original!$C$3:$C$58='by Product &amp; AIM Area'!R$1)*(Original!$O$2:$AW$2='by Product &amp; AIM Area'!$B24)*(Original!$O$3:$AW$58))
/
SUMPRODUCT((Original!$C$3:$C$58='by Product &amp; AIM Area'!R$1)*(Original!$J$2:$AW$2='by Product &amp; AIM Area'!$B24))</f>
        <v>3</v>
      </c>
      <c r="S24" s="11">
        <f>SUMPRODUCT((Original!$C$3:$C$58='by Product &amp; AIM Area'!S$1)*(Original!$O$2:$AW$2='by Product &amp; AIM Area'!$B24)*(Original!$O$3:$AW$58))
/
SUMPRODUCT((Original!$C$3:$C$58='by Product &amp; AIM Area'!S$1)*(Original!$J$2:$AW$2='by Product &amp; AIM Area'!$B24))</f>
        <v>2.25</v>
      </c>
      <c r="T24" s="11">
        <f>SUMPRODUCT((Original!$C$3:$C$58='by Product &amp; AIM Area'!T$1)*(Original!$O$2:$AW$2='by Product &amp; AIM Area'!$B24)*(Original!$O$3:$AW$58))
/
SUMPRODUCT((Original!$C$3:$C$58='by Product &amp; AIM Area'!T$1)*(Original!$J$2:$AW$2='by Product &amp; AIM Area'!$B24))</f>
        <v>3</v>
      </c>
      <c r="U24" s="11" t="e">
        <f>SUMPRODUCT((Original!$C$3:$C$58='by Product &amp; AIM Area'!U$1)*(Original!$O$2:$AW$2='by Product &amp; AIM Area'!$B24)*(Original!$O$3:$AW$58))
/
SUMPRODUCT((Original!$C$3:$C$58='by Product &amp; AIM Area'!U$1)*(Original!$J$2:$AW$2='by Product &amp; AIM Area'!$B24))</f>
        <v>#DIV/0!</v>
      </c>
      <c r="V24" s="11">
        <f>SUMPRODUCT((Original!$C$3:$C$58='by Product &amp; AIM Area'!V$1)*(Original!$O$2:$AW$2='by Product &amp; AIM Area'!$B24)*(Original!$O$3:$AW$58))
/
SUMPRODUCT((Original!$C$3:$C$58='by Product &amp; AIM Area'!V$1)*(Original!$J$2:$AW$2='by Product &amp; AIM Area'!$B24))</f>
        <v>3</v>
      </c>
      <c r="W24" s="11">
        <f>SUMPRODUCT((Original!$C$3:$C$58='by Product &amp; AIM Area'!W$1)*(Original!$O$2:$AW$2='by Product &amp; AIM Area'!$B24)*(Original!$O$3:$AW$58))
/
SUMPRODUCT((Original!$C$3:$C$58='by Product &amp; AIM Area'!W$1)*(Original!$J$2:$AW$2='by Product &amp; AIM Area'!$B24))</f>
        <v>3</v>
      </c>
      <c r="X24" s="11" t="e">
        <f>SUMPRODUCT((Original!$C$3:$C$58='by Product &amp; AIM Area'!X$1)*(Original!$O$2:$AW$2='by Product &amp; AIM Area'!$B24)*(Original!$O$3:$AW$58))
/
SUMPRODUCT((Original!$C$3:$C$58='by Product &amp; AIM Area'!X$1)*(Original!$J$2:$AW$2='by Product &amp; AIM Area'!$B24))</f>
        <v>#DIV/0!</v>
      </c>
      <c r="Y24" s="11" t="e">
        <f>SUMPRODUCT((Original!$C$3:$C$58='by Product &amp; AIM Area'!Y$1)*(Original!$O$2:$AW$2='by Product &amp; AIM Area'!$B24)*(Original!$O$3:$AW$58))
/
SUMPRODUCT((Original!$C$3:$C$58='by Product &amp; AIM Area'!Y$1)*(Original!$J$2:$AW$2='by Product &amp; AIM Area'!$B24))</f>
        <v>#DIV/0!</v>
      </c>
      <c r="Z24" s="11">
        <f>SUMPRODUCT((Original!$C$3:$C$58='by Product &amp; AIM Area'!Z$1)*(Original!$O$2:$AW$2='by Product &amp; AIM Area'!$B24)*(Original!$O$3:$AW$58))
/
SUMPRODUCT((Original!$C$3:$C$58='by Product &amp; AIM Area'!Z$1)*(Original!$J$2:$AW$2='by Product &amp; AIM Area'!$B24))</f>
        <v>3</v>
      </c>
      <c r="AA24" s="11">
        <f>SUMPRODUCT((Original!$C$3:$C$58='by Product &amp; AIM Area'!AA$1)*(Original!$O$2:$AW$2='by Product &amp; AIM Area'!$B24)*(Original!$O$3:$AW$58))
/
SUMPRODUCT((Original!$C$3:$C$58='by Product &amp; AIM Area'!AA$1)*(Original!$J$2:$AW$2='by Product &amp; AIM Area'!$B24))</f>
        <v>3</v>
      </c>
      <c r="AB24" s="11">
        <f>SUMPRODUCT((Original!$C$3:$C$58='by Product &amp; AIM Area'!AB$1)*(Original!$O$2:$AW$2='by Product &amp; AIM Area'!$B24)*(Original!$O$3:$AW$58))
/
SUMPRODUCT((Original!$C$3:$C$58='by Product &amp; AIM Area'!AB$1)*(Original!$J$2:$AW$2='by Product &amp; AIM Area'!$B24))</f>
        <v>1.5</v>
      </c>
      <c r="AC24" s="11">
        <f>SUMPRODUCT((Original!$C$3:$C$58='by Product &amp; AIM Area'!AC$1)*(Original!$O$2:$AW$2='by Product &amp; AIM Area'!$B24)*(Original!$O$3:$AW$58))
/
SUMPRODUCT((Original!$C$3:$C$58='by Product &amp; AIM Area'!AC$1)*(Original!$J$2:$AW$2='by Product &amp; AIM Area'!$B24))</f>
        <v>0</v>
      </c>
      <c r="AD24" s="11" t="e">
        <f t="shared" si="0"/>
        <v>#DIV/0!</v>
      </c>
    </row>
    <row r="25" spans="1:30" ht="60">
      <c r="A25" s="11" t="s">
        <v>4</v>
      </c>
      <c r="B25" s="11" t="s">
        <v>45</v>
      </c>
      <c r="C25" s="11">
        <f>SUMPRODUCT((Original!$C$3:$C$58='by Product &amp; AIM Area'!C$1)*(Original!$O$2:$AW$2='by Product &amp; AIM Area'!$B25)*(Original!$O$3:$AW$58))
/
SUMPRODUCT((Original!$C$3:$C$58='by Product &amp; AIM Area'!C$1)*(Original!$J$2:$AW$2='by Product &amp; AIM Area'!$B25))</f>
        <v>3</v>
      </c>
      <c r="D25" s="11">
        <f>SUMPRODUCT((Original!$C$3:$C$58='by Product &amp; AIM Area'!D$1)*(Original!$O$2:$AW$2='by Product &amp; AIM Area'!$B25)*(Original!$O$3:$AW$58))
/
SUMPRODUCT((Original!$C$3:$C$58='by Product &amp; AIM Area'!D$1)*(Original!$J$2:$AW$2='by Product &amp; AIM Area'!$B25))</f>
        <v>3</v>
      </c>
      <c r="E25" s="11">
        <f>SUMPRODUCT((Original!$C$3:$C$58='by Product &amp; AIM Area'!E$1)*(Original!$O$2:$AW$2='by Product &amp; AIM Area'!$B25)*(Original!$O$3:$AW$58))
/
SUMPRODUCT((Original!$C$3:$C$58='by Product &amp; AIM Area'!E$1)*(Original!$J$2:$AW$2='by Product &amp; AIM Area'!$B25))</f>
        <v>1</v>
      </c>
      <c r="F25" s="11" t="e">
        <f>SUMPRODUCT((Original!$C$3:$C$58='by Product &amp; AIM Area'!F$1)*(Original!$O$2:$AW$2='by Product &amp; AIM Area'!$B25)*(Original!$O$3:$AW$58))
/
SUMPRODUCT((Original!$C$3:$C$58='by Product &amp; AIM Area'!F$1)*(Original!$J$2:$AW$2='by Product &amp; AIM Area'!$B25))</f>
        <v>#DIV/0!</v>
      </c>
      <c r="G25" s="11" t="e">
        <f>SUMPRODUCT((Original!$C$3:$C$58='by Product &amp; AIM Area'!G$1)*(Original!$O$2:$AW$2='by Product &amp; AIM Area'!$B25)*(Original!$O$3:$AW$58))
/
SUMPRODUCT((Original!$C$3:$C$58='by Product &amp; AIM Area'!G$1)*(Original!$J$2:$AW$2='by Product &amp; AIM Area'!$B25))</f>
        <v>#DIV/0!</v>
      </c>
      <c r="H25" s="11" t="e">
        <f>SUMPRODUCT((Original!$C$3:$C$58='by Product &amp; AIM Area'!H$1)*(Original!$O$2:$AW$2='by Product &amp; AIM Area'!$B25)*(Original!$O$3:$AW$58))
/
SUMPRODUCT((Original!$C$3:$C$58='by Product &amp; AIM Area'!H$1)*(Original!$J$2:$AW$2='by Product &amp; AIM Area'!$B25))</f>
        <v>#DIV/0!</v>
      </c>
      <c r="I25" s="11">
        <f>SUMPRODUCT((Original!$C$3:$C$58='by Product &amp; AIM Area'!I$1)*(Original!$O$2:$AW$2='by Product &amp; AIM Area'!$B25)*(Original!$O$3:$AW$58))
/
SUMPRODUCT((Original!$C$3:$C$58='by Product &amp; AIM Area'!I$1)*(Original!$J$2:$AW$2='by Product &amp; AIM Area'!$B25))</f>
        <v>2</v>
      </c>
      <c r="J25" s="11">
        <f>SUMPRODUCT((Original!$C$3:$C$58='by Product &amp; AIM Area'!J$1)*(Original!$O$2:$AW$2='by Product &amp; AIM Area'!$B25)*(Original!$O$3:$AW$58))
/
SUMPRODUCT((Original!$C$3:$C$58='by Product &amp; AIM Area'!J$1)*(Original!$J$2:$AW$2='by Product &amp; AIM Area'!$B25))</f>
        <v>1</v>
      </c>
      <c r="K25" s="11" t="e">
        <f>SUMPRODUCT((Original!$C$3:$C$58='by Product &amp; AIM Area'!K$1)*(Original!$O$2:$AW$2='by Product &amp; AIM Area'!$B25)*(Original!$O$3:$AW$58))
/
SUMPRODUCT((Original!$C$3:$C$58='by Product &amp; AIM Area'!K$1)*(Original!$J$2:$AW$2='by Product &amp; AIM Area'!$B25))</f>
        <v>#DIV/0!</v>
      </c>
      <c r="L25" s="11" t="e">
        <f>SUMPRODUCT((Original!$C$3:$C$58='by Product &amp; AIM Area'!L$1)*(Original!$O$2:$AW$2='by Product &amp; AIM Area'!$B25)*(Original!$O$3:$AW$58))
/
SUMPRODUCT((Original!$C$3:$C$58='by Product &amp; AIM Area'!L$1)*(Original!$J$2:$AW$2='by Product &amp; AIM Area'!$B25))</f>
        <v>#DIV/0!</v>
      </c>
      <c r="M25" s="11">
        <f>SUMPRODUCT((Original!$C$3:$C$58='by Product &amp; AIM Area'!M$1)*(Original!$O$2:$AW$2='by Product &amp; AIM Area'!$B25)*(Original!$O$3:$AW$58))
/
SUMPRODUCT((Original!$C$3:$C$58='by Product &amp; AIM Area'!M$1)*(Original!$J$2:$AW$2='by Product &amp; AIM Area'!$B25))</f>
        <v>1</v>
      </c>
      <c r="N25" s="11" t="e">
        <f>SUMPRODUCT((Original!$C$3:$C$58='by Product &amp; AIM Area'!N$1)*(Original!$O$2:$AW$2='by Product &amp; AIM Area'!$B25)*(Original!$O$3:$AW$58))
/
SUMPRODUCT((Original!$C$3:$C$58='by Product &amp; AIM Area'!N$1)*(Original!$J$2:$AW$2='by Product &amp; AIM Area'!$B25))</f>
        <v>#DIV/0!</v>
      </c>
      <c r="O25" s="11">
        <f>SUMPRODUCT((Original!$C$3:$C$58='by Product &amp; AIM Area'!O$1)*(Original!$O$2:$AW$2='by Product &amp; AIM Area'!$B25)*(Original!$O$3:$AW$58))
/
SUMPRODUCT((Original!$C$3:$C$58='by Product &amp; AIM Area'!O$1)*(Original!$J$2:$AW$2='by Product &amp; AIM Area'!$B25))</f>
        <v>3</v>
      </c>
      <c r="P25" s="11" t="e">
        <f>SUMPRODUCT((Original!$C$3:$C$58='by Product &amp; AIM Area'!P$1)*(Original!$O$2:$AW$2='by Product &amp; AIM Area'!$B25)*(Original!$O$3:$AW$58))
/
SUMPRODUCT((Original!$C$3:$C$58='by Product &amp; AIM Area'!P$1)*(Original!$J$2:$AW$2='by Product &amp; AIM Area'!$B25))</f>
        <v>#DIV/0!</v>
      </c>
      <c r="Q25" s="11">
        <f>SUMPRODUCT((Original!$C$3:$C$58='by Product &amp; AIM Area'!Q$1)*(Original!$O$2:$AW$2='by Product &amp; AIM Area'!$B25)*(Original!$O$3:$AW$58))
/
SUMPRODUCT((Original!$C$3:$C$58='by Product &amp; AIM Area'!Q$1)*(Original!$J$2:$AW$2='by Product &amp; AIM Area'!$B25))</f>
        <v>3</v>
      </c>
      <c r="R25" s="11">
        <f>SUMPRODUCT((Original!$C$3:$C$58='by Product &amp; AIM Area'!R$1)*(Original!$O$2:$AW$2='by Product &amp; AIM Area'!$B25)*(Original!$O$3:$AW$58))
/
SUMPRODUCT((Original!$C$3:$C$58='by Product &amp; AIM Area'!R$1)*(Original!$J$2:$AW$2='by Product &amp; AIM Area'!$B25))</f>
        <v>1.5</v>
      </c>
      <c r="S25" s="11">
        <f>SUMPRODUCT((Original!$C$3:$C$58='by Product &amp; AIM Area'!S$1)*(Original!$O$2:$AW$2='by Product &amp; AIM Area'!$B25)*(Original!$O$3:$AW$58))
/
SUMPRODUCT((Original!$C$3:$C$58='by Product &amp; AIM Area'!S$1)*(Original!$J$2:$AW$2='by Product &amp; AIM Area'!$B25))</f>
        <v>1.875</v>
      </c>
      <c r="T25" s="11">
        <f>SUMPRODUCT((Original!$C$3:$C$58='by Product &amp; AIM Area'!T$1)*(Original!$O$2:$AW$2='by Product &amp; AIM Area'!$B25)*(Original!$O$3:$AW$58))
/
SUMPRODUCT((Original!$C$3:$C$58='by Product &amp; AIM Area'!T$1)*(Original!$J$2:$AW$2='by Product &amp; AIM Area'!$B25))</f>
        <v>1</v>
      </c>
      <c r="U25" s="11" t="e">
        <f>SUMPRODUCT((Original!$C$3:$C$58='by Product &amp; AIM Area'!U$1)*(Original!$O$2:$AW$2='by Product &amp; AIM Area'!$B25)*(Original!$O$3:$AW$58))
/
SUMPRODUCT((Original!$C$3:$C$58='by Product &amp; AIM Area'!U$1)*(Original!$J$2:$AW$2='by Product &amp; AIM Area'!$B25))</f>
        <v>#DIV/0!</v>
      </c>
      <c r="V25" s="11">
        <f>SUMPRODUCT((Original!$C$3:$C$58='by Product &amp; AIM Area'!V$1)*(Original!$O$2:$AW$2='by Product &amp; AIM Area'!$B25)*(Original!$O$3:$AW$58))
/
SUMPRODUCT((Original!$C$3:$C$58='by Product &amp; AIM Area'!V$1)*(Original!$J$2:$AW$2='by Product &amp; AIM Area'!$B25))</f>
        <v>1</v>
      </c>
      <c r="W25" s="11">
        <f>SUMPRODUCT((Original!$C$3:$C$58='by Product &amp; AIM Area'!W$1)*(Original!$O$2:$AW$2='by Product &amp; AIM Area'!$B25)*(Original!$O$3:$AW$58))
/
SUMPRODUCT((Original!$C$3:$C$58='by Product &amp; AIM Area'!W$1)*(Original!$J$2:$AW$2='by Product &amp; AIM Area'!$B25))</f>
        <v>1</v>
      </c>
      <c r="X25" s="11" t="e">
        <f>SUMPRODUCT((Original!$C$3:$C$58='by Product &amp; AIM Area'!X$1)*(Original!$O$2:$AW$2='by Product &amp; AIM Area'!$B25)*(Original!$O$3:$AW$58))
/
SUMPRODUCT((Original!$C$3:$C$58='by Product &amp; AIM Area'!X$1)*(Original!$J$2:$AW$2='by Product &amp; AIM Area'!$B25))</f>
        <v>#DIV/0!</v>
      </c>
      <c r="Y25" s="11" t="e">
        <f>SUMPRODUCT((Original!$C$3:$C$58='by Product &amp; AIM Area'!Y$1)*(Original!$O$2:$AW$2='by Product &amp; AIM Area'!$B25)*(Original!$O$3:$AW$58))
/
SUMPRODUCT((Original!$C$3:$C$58='by Product &amp; AIM Area'!Y$1)*(Original!$J$2:$AW$2='by Product &amp; AIM Area'!$B25))</f>
        <v>#DIV/0!</v>
      </c>
      <c r="Z25" s="11">
        <f>SUMPRODUCT((Original!$C$3:$C$58='by Product &amp; AIM Area'!Z$1)*(Original!$O$2:$AW$2='by Product &amp; AIM Area'!$B25)*(Original!$O$3:$AW$58))
/
SUMPRODUCT((Original!$C$3:$C$58='by Product &amp; AIM Area'!Z$1)*(Original!$J$2:$AW$2='by Product &amp; AIM Area'!$B25))</f>
        <v>1</v>
      </c>
      <c r="AA25" s="11">
        <f>SUMPRODUCT((Original!$C$3:$C$58='by Product &amp; AIM Area'!AA$1)*(Original!$O$2:$AW$2='by Product &amp; AIM Area'!$B25)*(Original!$O$3:$AW$58))
/
SUMPRODUCT((Original!$C$3:$C$58='by Product &amp; AIM Area'!AA$1)*(Original!$J$2:$AW$2='by Product &amp; AIM Area'!$B25))</f>
        <v>3</v>
      </c>
      <c r="AB25" s="11">
        <f>SUMPRODUCT((Original!$C$3:$C$58='by Product &amp; AIM Area'!AB$1)*(Original!$O$2:$AW$2='by Product &amp; AIM Area'!$B25)*(Original!$O$3:$AW$58))
/
SUMPRODUCT((Original!$C$3:$C$58='by Product &amp; AIM Area'!AB$1)*(Original!$J$2:$AW$2='by Product &amp; AIM Area'!$B25))</f>
        <v>1.5</v>
      </c>
      <c r="AC25" s="11">
        <f>SUMPRODUCT((Original!$C$3:$C$58='by Product &amp; AIM Area'!AC$1)*(Original!$O$2:$AW$2='by Product &amp; AIM Area'!$B25)*(Original!$O$3:$AW$58))
/
SUMPRODUCT((Original!$C$3:$C$58='by Product &amp; AIM Area'!AC$1)*(Original!$J$2:$AW$2='by Product &amp; AIM Area'!$B25))</f>
        <v>0</v>
      </c>
      <c r="AD25" s="11" t="e">
        <f t="shared" si="0"/>
        <v>#DIV/0!</v>
      </c>
    </row>
    <row r="26" spans="1:30" ht="60">
      <c r="A26" s="11" t="s">
        <v>4</v>
      </c>
      <c r="B26" s="11" t="s">
        <v>46</v>
      </c>
      <c r="C26" s="11">
        <f>SUMPRODUCT((Original!$C$3:$C$58='by Product &amp; AIM Area'!C$1)*(Original!$O$2:$AW$2='by Product &amp; AIM Area'!$B26)*(Original!$O$3:$AW$58))
/
SUMPRODUCT((Original!$C$3:$C$58='by Product &amp; AIM Area'!C$1)*(Original!$J$2:$AW$2='by Product &amp; AIM Area'!$B26))</f>
        <v>1</v>
      </c>
      <c r="D26" s="11">
        <f>SUMPRODUCT((Original!$C$3:$C$58='by Product &amp; AIM Area'!D$1)*(Original!$O$2:$AW$2='by Product &amp; AIM Area'!$B26)*(Original!$O$3:$AW$58))
/
SUMPRODUCT((Original!$C$3:$C$58='by Product &amp; AIM Area'!D$1)*(Original!$J$2:$AW$2='by Product &amp; AIM Area'!$B26))</f>
        <v>1</v>
      </c>
      <c r="E26" s="11">
        <f>SUMPRODUCT((Original!$C$3:$C$58='by Product &amp; AIM Area'!E$1)*(Original!$O$2:$AW$2='by Product &amp; AIM Area'!$B26)*(Original!$O$3:$AW$58))
/
SUMPRODUCT((Original!$C$3:$C$58='by Product &amp; AIM Area'!E$1)*(Original!$J$2:$AW$2='by Product &amp; AIM Area'!$B26))</f>
        <v>2</v>
      </c>
      <c r="F26" s="11" t="e">
        <f>SUMPRODUCT((Original!$C$3:$C$58='by Product &amp; AIM Area'!F$1)*(Original!$O$2:$AW$2='by Product &amp; AIM Area'!$B26)*(Original!$O$3:$AW$58))
/
SUMPRODUCT((Original!$C$3:$C$58='by Product &amp; AIM Area'!F$1)*(Original!$J$2:$AW$2='by Product &amp; AIM Area'!$B26))</f>
        <v>#DIV/0!</v>
      </c>
      <c r="G26" s="11" t="e">
        <f>SUMPRODUCT((Original!$C$3:$C$58='by Product &amp; AIM Area'!G$1)*(Original!$O$2:$AW$2='by Product &amp; AIM Area'!$B26)*(Original!$O$3:$AW$58))
/
SUMPRODUCT((Original!$C$3:$C$58='by Product &amp; AIM Area'!G$1)*(Original!$J$2:$AW$2='by Product &amp; AIM Area'!$B26))</f>
        <v>#DIV/0!</v>
      </c>
      <c r="H26" s="11" t="e">
        <f>SUMPRODUCT((Original!$C$3:$C$58='by Product &amp; AIM Area'!H$1)*(Original!$O$2:$AW$2='by Product &amp; AIM Area'!$B26)*(Original!$O$3:$AW$58))
/
SUMPRODUCT((Original!$C$3:$C$58='by Product &amp; AIM Area'!H$1)*(Original!$J$2:$AW$2='by Product &amp; AIM Area'!$B26))</f>
        <v>#DIV/0!</v>
      </c>
      <c r="I26" s="11">
        <f>SUMPRODUCT((Original!$C$3:$C$58='by Product &amp; AIM Area'!I$1)*(Original!$O$2:$AW$2='by Product &amp; AIM Area'!$B26)*(Original!$O$3:$AW$58))
/
SUMPRODUCT((Original!$C$3:$C$58='by Product &amp; AIM Area'!I$1)*(Original!$J$2:$AW$2='by Product &amp; AIM Area'!$B26))</f>
        <v>1</v>
      </c>
      <c r="J26" s="11">
        <f>SUMPRODUCT((Original!$C$3:$C$58='by Product &amp; AIM Area'!J$1)*(Original!$O$2:$AW$2='by Product &amp; AIM Area'!$B26)*(Original!$O$3:$AW$58))
/
SUMPRODUCT((Original!$C$3:$C$58='by Product &amp; AIM Area'!J$1)*(Original!$J$2:$AW$2='by Product &amp; AIM Area'!$B26))</f>
        <v>1</v>
      </c>
      <c r="K26" s="11" t="e">
        <f>SUMPRODUCT((Original!$C$3:$C$58='by Product &amp; AIM Area'!K$1)*(Original!$O$2:$AW$2='by Product &amp; AIM Area'!$B26)*(Original!$O$3:$AW$58))
/
SUMPRODUCT((Original!$C$3:$C$58='by Product &amp; AIM Area'!K$1)*(Original!$J$2:$AW$2='by Product &amp; AIM Area'!$B26))</f>
        <v>#DIV/0!</v>
      </c>
      <c r="L26" s="11" t="e">
        <f>SUMPRODUCT((Original!$C$3:$C$58='by Product &amp; AIM Area'!L$1)*(Original!$O$2:$AW$2='by Product &amp; AIM Area'!$B26)*(Original!$O$3:$AW$58))
/
SUMPRODUCT((Original!$C$3:$C$58='by Product &amp; AIM Area'!L$1)*(Original!$J$2:$AW$2='by Product &amp; AIM Area'!$B26))</f>
        <v>#DIV/0!</v>
      </c>
      <c r="M26" s="11">
        <f>SUMPRODUCT((Original!$C$3:$C$58='by Product &amp; AIM Area'!M$1)*(Original!$O$2:$AW$2='by Product &amp; AIM Area'!$B26)*(Original!$O$3:$AW$58))
/
SUMPRODUCT((Original!$C$3:$C$58='by Product &amp; AIM Area'!M$1)*(Original!$J$2:$AW$2='by Product &amp; AIM Area'!$B26))</f>
        <v>0</v>
      </c>
      <c r="N26" s="11" t="e">
        <f>SUMPRODUCT((Original!$C$3:$C$58='by Product &amp; AIM Area'!N$1)*(Original!$O$2:$AW$2='by Product &amp; AIM Area'!$B26)*(Original!$O$3:$AW$58))
/
SUMPRODUCT((Original!$C$3:$C$58='by Product &amp; AIM Area'!N$1)*(Original!$J$2:$AW$2='by Product &amp; AIM Area'!$B26))</f>
        <v>#DIV/0!</v>
      </c>
      <c r="O26" s="11">
        <f>SUMPRODUCT((Original!$C$3:$C$58='by Product &amp; AIM Area'!O$1)*(Original!$O$2:$AW$2='by Product &amp; AIM Area'!$B26)*(Original!$O$3:$AW$58))
/
SUMPRODUCT((Original!$C$3:$C$58='by Product &amp; AIM Area'!O$1)*(Original!$J$2:$AW$2='by Product &amp; AIM Area'!$B26))</f>
        <v>1</v>
      </c>
      <c r="P26" s="11" t="e">
        <f>SUMPRODUCT((Original!$C$3:$C$58='by Product &amp; AIM Area'!P$1)*(Original!$O$2:$AW$2='by Product &amp; AIM Area'!$B26)*(Original!$O$3:$AW$58))
/
SUMPRODUCT((Original!$C$3:$C$58='by Product &amp; AIM Area'!P$1)*(Original!$J$2:$AW$2='by Product &amp; AIM Area'!$B26))</f>
        <v>#DIV/0!</v>
      </c>
      <c r="Q26" s="11">
        <f>SUMPRODUCT((Original!$C$3:$C$58='by Product &amp; AIM Area'!Q$1)*(Original!$O$2:$AW$2='by Product &amp; AIM Area'!$B26)*(Original!$O$3:$AW$58))
/
SUMPRODUCT((Original!$C$3:$C$58='by Product &amp; AIM Area'!Q$1)*(Original!$J$2:$AW$2='by Product &amp; AIM Area'!$B26))</f>
        <v>2</v>
      </c>
      <c r="R26" s="11">
        <f>SUMPRODUCT((Original!$C$3:$C$58='by Product &amp; AIM Area'!R$1)*(Original!$O$2:$AW$2='by Product &amp; AIM Area'!$B26)*(Original!$O$3:$AW$58))
/
SUMPRODUCT((Original!$C$3:$C$58='by Product &amp; AIM Area'!R$1)*(Original!$J$2:$AW$2='by Product &amp; AIM Area'!$B26))</f>
        <v>2.125</v>
      </c>
      <c r="S26" s="11">
        <f>SUMPRODUCT((Original!$C$3:$C$58='by Product &amp; AIM Area'!S$1)*(Original!$O$2:$AW$2='by Product &amp; AIM Area'!$B26)*(Original!$O$3:$AW$58))
/
SUMPRODUCT((Original!$C$3:$C$58='by Product &amp; AIM Area'!S$1)*(Original!$J$2:$AW$2='by Product &amp; AIM Area'!$B26))</f>
        <v>1.25</v>
      </c>
      <c r="T26" s="11">
        <f>SUMPRODUCT((Original!$C$3:$C$58='by Product &amp; AIM Area'!T$1)*(Original!$O$2:$AW$2='by Product &amp; AIM Area'!$B26)*(Original!$O$3:$AW$58))
/
SUMPRODUCT((Original!$C$3:$C$58='by Product &amp; AIM Area'!T$1)*(Original!$J$2:$AW$2='by Product &amp; AIM Area'!$B26))</f>
        <v>1.625</v>
      </c>
      <c r="U26" s="11" t="e">
        <f>SUMPRODUCT((Original!$C$3:$C$58='by Product &amp; AIM Area'!U$1)*(Original!$O$2:$AW$2='by Product &amp; AIM Area'!$B26)*(Original!$O$3:$AW$58))
/
SUMPRODUCT((Original!$C$3:$C$58='by Product &amp; AIM Area'!U$1)*(Original!$J$2:$AW$2='by Product &amp; AIM Area'!$B26))</f>
        <v>#DIV/0!</v>
      </c>
      <c r="V26" s="11">
        <f>SUMPRODUCT((Original!$C$3:$C$58='by Product &amp; AIM Area'!V$1)*(Original!$O$2:$AW$2='by Product &amp; AIM Area'!$B26)*(Original!$O$3:$AW$58))
/
SUMPRODUCT((Original!$C$3:$C$58='by Product &amp; AIM Area'!V$1)*(Original!$J$2:$AW$2='by Product &amp; AIM Area'!$B26))</f>
        <v>1</v>
      </c>
      <c r="W26" s="11">
        <f>SUMPRODUCT((Original!$C$3:$C$58='by Product &amp; AIM Area'!W$1)*(Original!$O$2:$AW$2='by Product &amp; AIM Area'!$B26)*(Original!$O$3:$AW$58))
/
SUMPRODUCT((Original!$C$3:$C$58='by Product &amp; AIM Area'!W$1)*(Original!$J$2:$AW$2='by Product &amp; AIM Area'!$B26))</f>
        <v>1</v>
      </c>
      <c r="X26" s="11" t="e">
        <f>SUMPRODUCT((Original!$C$3:$C$58='by Product &amp; AIM Area'!X$1)*(Original!$O$2:$AW$2='by Product &amp; AIM Area'!$B26)*(Original!$O$3:$AW$58))
/
SUMPRODUCT((Original!$C$3:$C$58='by Product &amp; AIM Area'!X$1)*(Original!$J$2:$AW$2='by Product &amp; AIM Area'!$B26))</f>
        <v>#DIV/0!</v>
      </c>
      <c r="Y26" s="11" t="e">
        <f>SUMPRODUCT((Original!$C$3:$C$58='by Product &amp; AIM Area'!Y$1)*(Original!$O$2:$AW$2='by Product &amp; AIM Area'!$B26)*(Original!$O$3:$AW$58))
/
SUMPRODUCT((Original!$C$3:$C$58='by Product &amp; AIM Area'!Y$1)*(Original!$J$2:$AW$2='by Product &amp; AIM Area'!$B26))</f>
        <v>#DIV/0!</v>
      </c>
      <c r="Z26" s="11">
        <f>SUMPRODUCT((Original!$C$3:$C$58='by Product &amp; AIM Area'!Z$1)*(Original!$O$2:$AW$2='by Product &amp; AIM Area'!$B26)*(Original!$O$3:$AW$58))
/
SUMPRODUCT((Original!$C$3:$C$58='by Product &amp; AIM Area'!Z$1)*(Original!$J$2:$AW$2='by Product &amp; AIM Area'!$B26))</f>
        <v>0</v>
      </c>
      <c r="AA26" s="11">
        <f>SUMPRODUCT((Original!$C$3:$C$58='by Product &amp; AIM Area'!AA$1)*(Original!$O$2:$AW$2='by Product &amp; AIM Area'!$B26)*(Original!$O$3:$AW$58))
/
SUMPRODUCT((Original!$C$3:$C$58='by Product &amp; AIM Area'!AA$1)*(Original!$J$2:$AW$2='by Product &amp; AIM Area'!$B26))</f>
        <v>3</v>
      </c>
      <c r="AB26" s="11">
        <f>SUMPRODUCT((Original!$C$3:$C$58='by Product &amp; AIM Area'!AB$1)*(Original!$O$2:$AW$2='by Product &amp; AIM Area'!$B26)*(Original!$O$3:$AW$58))
/
SUMPRODUCT((Original!$C$3:$C$58='by Product &amp; AIM Area'!AB$1)*(Original!$J$2:$AW$2='by Product &amp; AIM Area'!$B26))</f>
        <v>0.5</v>
      </c>
      <c r="AC26" s="11">
        <f>SUMPRODUCT((Original!$C$3:$C$58='by Product &amp; AIM Area'!AC$1)*(Original!$O$2:$AW$2='by Product &amp; AIM Area'!$B26)*(Original!$O$3:$AW$58))
/
SUMPRODUCT((Original!$C$3:$C$58='by Product &amp; AIM Area'!AC$1)*(Original!$J$2:$AW$2='by Product &amp; AIM Area'!$B26))</f>
        <v>1.2</v>
      </c>
      <c r="AD26" s="11" t="e">
        <f t="shared" si="0"/>
        <v>#DIV/0!</v>
      </c>
    </row>
    <row r="27" spans="1:30" ht="30">
      <c r="A27" s="11" t="s">
        <v>5</v>
      </c>
      <c r="B27" s="11" t="s">
        <v>48</v>
      </c>
      <c r="C27" s="11">
        <f>SUMPRODUCT((Original!$C$3:$C$58='by Product &amp; AIM Area'!C$1)*(Original!$O$2:$AW$2='by Product &amp; AIM Area'!$B27)*(Original!$O$3:$AW$58))
/
SUMPRODUCT((Original!$C$3:$C$58='by Product &amp; AIM Area'!C$1)*(Original!$J$2:$AW$2='by Product &amp; AIM Area'!$B27))</f>
        <v>0</v>
      </c>
      <c r="D27" s="11">
        <f>SUMPRODUCT((Original!$C$3:$C$58='by Product &amp; AIM Area'!D$1)*(Original!$O$2:$AW$2='by Product &amp; AIM Area'!$B27)*(Original!$O$3:$AW$58))
/
SUMPRODUCT((Original!$C$3:$C$58='by Product &amp; AIM Area'!D$1)*(Original!$J$2:$AW$2='by Product &amp; AIM Area'!$B27))</f>
        <v>0</v>
      </c>
      <c r="E27" s="11">
        <f>SUMPRODUCT((Original!$C$3:$C$58='by Product &amp; AIM Area'!E$1)*(Original!$O$2:$AW$2='by Product &amp; AIM Area'!$B27)*(Original!$O$3:$AW$58))
/
SUMPRODUCT((Original!$C$3:$C$58='by Product &amp; AIM Area'!E$1)*(Original!$J$2:$AW$2='by Product &amp; AIM Area'!$B27))</f>
        <v>0</v>
      </c>
      <c r="F27" s="11" t="e">
        <f>SUMPRODUCT((Original!$C$3:$C$58='by Product &amp; AIM Area'!F$1)*(Original!$O$2:$AW$2='by Product &amp; AIM Area'!$B27)*(Original!$O$3:$AW$58))
/
SUMPRODUCT((Original!$C$3:$C$58='by Product &amp; AIM Area'!F$1)*(Original!$J$2:$AW$2='by Product &amp; AIM Area'!$B27))</f>
        <v>#DIV/0!</v>
      </c>
      <c r="G27" s="11" t="e">
        <f>SUMPRODUCT((Original!$C$3:$C$58='by Product &amp; AIM Area'!G$1)*(Original!$O$2:$AW$2='by Product &amp; AIM Area'!$B27)*(Original!$O$3:$AW$58))
/
SUMPRODUCT((Original!$C$3:$C$58='by Product &amp; AIM Area'!G$1)*(Original!$J$2:$AW$2='by Product &amp; AIM Area'!$B27))</f>
        <v>#DIV/0!</v>
      </c>
      <c r="H27" s="11" t="e">
        <f>SUMPRODUCT((Original!$C$3:$C$58='by Product &amp; AIM Area'!H$1)*(Original!$O$2:$AW$2='by Product &amp; AIM Area'!$B27)*(Original!$O$3:$AW$58))
/
SUMPRODUCT((Original!$C$3:$C$58='by Product &amp; AIM Area'!H$1)*(Original!$J$2:$AW$2='by Product &amp; AIM Area'!$B27))</f>
        <v>#DIV/0!</v>
      </c>
      <c r="I27" s="11">
        <f>SUMPRODUCT((Original!$C$3:$C$58='by Product &amp; AIM Area'!I$1)*(Original!$O$2:$AW$2='by Product &amp; AIM Area'!$B27)*(Original!$O$3:$AW$58))
/
SUMPRODUCT((Original!$C$3:$C$58='by Product &amp; AIM Area'!I$1)*(Original!$J$2:$AW$2='by Product &amp; AIM Area'!$B27))</f>
        <v>0</v>
      </c>
      <c r="J27" s="11">
        <f>SUMPRODUCT((Original!$C$3:$C$58='by Product &amp; AIM Area'!J$1)*(Original!$O$2:$AW$2='by Product &amp; AIM Area'!$B27)*(Original!$O$3:$AW$58))
/
SUMPRODUCT((Original!$C$3:$C$58='by Product &amp; AIM Area'!J$1)*(Original!$J$2:$AW$2='by Product &amp; AIM Area'!$B27))</f>
        <v>0</v>
      </c>
      <c r="K27" s="11" t="e">
        <f>SUMPRODUCT((Original!$C$3:$C$58='by Product &amp; AIM Area'!K$1)*(Original!$O$2:$AW$2='by Product &amp; AIM Area'!$B27)*(Original!$O$3:$AW$58))
/
SUMPRODUCT((Original!$C$3:$C$58='by Product &amp; AIM Area'!K$1)*(Original!$J$2:$AW$2='by Product &amp; AIM Area'!$B27))</f>
        <v>#DIV/0!</v>
      </c>
      <c r="L27" s="11" t="e">
        <f>SUMPRODUCT((Original!$C$3:$C$58='by Product &amp; AIM Area'!L$1)*(Original!$O$2:$AW$2='by Product &amp; AIM Area'!$B27)*(Original!$O$3:$AW$58))
/
SUMPRODUCT((Original!$C$3:$C$58='by Product &amp; AIM Area'!L$1)*(Original!$J$2:$AW$2='by Product &amp; AIM Area'!$B27))</f>
        <v>#DIV/0!</v>
      </c>
      <c r="M27" s="11">
        <f>SUMPRODUCT((Original!$C$3:$C$58='by Product &amp; AIM Area'!M$1)*(Original!$O$2:$AW$2='by Product &amp; AIM Area'!$B27)*(Original!$O$3:$AW$58))
/
SUMPRODUCT((Original!$C$3:$C$58='by Product &amp; AIM Area'!M$1)*(Original!$J$2:$AW$2='by Product &amp; AIM Area'!$B27))</f>
        <v>0</v>
      </c>
      <c r="N27" s="11" t="e">
        <f>SUMPRODUCT((Original!$C$3:$C$58='by Product &amp; AIM Area'!N$1)*(Original!$O$2:$AW$2='by Product &amp; AIM Area'!$B27)*(Original!$O$3:$AW$58))
/
SUMPRODUCT((Original!$C$3:$C$58='by Product &amp; AIM Area'!N$1)*(Original!$J$2:$AW$2='by Product &amp; AIM Area'!$B27))</f>
        <v>#DIV/0!</v>
      </c>
      <c r="O27" s="11">
        <f>SUMPRODUCT((Original!$C$3:$C$58='by Product &amp; AIM Area'!O$1)*(Original!$O$2:$AW$2='by Product &amp; AIM Area'!$B27)*(Original!$O$3:$AW$58))
/
SUMPRODUCT((Original!$C$3:$C$58='by Product &amp; AIM Area'!O$1)*(Original!$J$2:$AW$2='by Product &amp; AIM Area'!$B27))</f>
        <v>0</v>
      </c>
      <c r="P27" s="11" t="e">
        <f>SUMPRODUCT((Original!$C$3:$C$58='by Product &amp; AIM Area'!P$1)*(Original!$O$2:$AW$2='by Product &amp; AIM Area'!$B27)*(Original!$O$3:$AW$58))
/
SUMPRODUCT((Original!$C$3:$C$58='by Product &amp; AIM Area'!P$1)*(Original!$J$2:$AW$2='by Product &amp; AIM Area'!$B27))</f>
        <v>#DIV/0!</v>
      </c>
      <c r="Q27" s="11">
        <f>SUMPRODUCT((Original!$C$3:$C$58='by Product &amp; AIM Area'!Q$1)*(Original!$O$2:$AW$2='by Product &amp; AIM Area'!$B27)*(Original!$O$3:$AW$58))
/
SUMPRODUCT((Original!$C$3:$C$58='by Product &amp; AIM Area'!Q$1)*(Original!$J$2:$AW$2='by Product &amp; AIM Area'!$B27))</f>
        <v>0</v>
      </c>
      <c r="R27" s="11">
        <f>SUMPRODUCT((Original!$C$3:$C$58='by Product &amp; AIM Area'!R$1)*(Original!$O$2:$AW$2='by Product &amp; AIM Area'!$B27)*(Original!$O$3:$AW$58))
/
SUMPRODUCT((Original!$C$3:$C$58='by Product &amp; AIM Area'!R$1)*(Original!$J$2:$AW$2='by Product &amp; AIM Area'!$B27))</f>
        <v>0</v>
      </c>
      <c r="S27" s="11">
        <f>SUMPRODUCT((Original!$C$3:$C$58='by Product &amp; AIM Area'!S$1)*(Original!$O$2:$AW$2='by Product &amp; AIM Area'!$B27)*(Original!$O$3:$AW$58))
/
SUMPRODUCT((Original!$C$3:$C$58='by Product &amp; AIM Area'!S$1)*(Original!$J$2:$AW$2='by Product &amp; AIM Area'!$B27))</f>
        <v>0.25</v>
      </c>
      <c r="T27" s="11">
        <f>SUMPRODUCT((Original!$C$3:$C$58='by Product &amp; AIM Area'!T$1)*(Original!$O$2:$AW$2='by Product &amp; AIM Area'!$B27)*(Original!$O$3:$AW$58))
/
SUMPRODUCT((Original!$C$3:$C$58='by Product &amp; AIM Area'!T$1)*(Original!$J$2:$AW$2='by Product &amp; AIM Area'!$B27))</f>
        <v>0.625</v>
      </c>
      <c r="U27" s="11" t="e">
        <f>SUMPRODUCT((Original!$C$3:$C$58='by Product &amp; AIM Area'!U$1)*(Original!$O$2:$AW$2='by Product &amp; AIM Area'!$B27)*(Original!$O$3:$AW$58))
/
SUMPRODUCT((Original!$C$3:$C$58='by Product &amp; AIM Area'!U$1)*(Original!$J$2:$AW$2='by Product &amp; AIM Area'!$B27))</f>
        <v>#DIV/0!</v>
      </c>
      <c r="V27" s="11">
        <f>SUMPRODUCT((Original!$C$3:$C$58='by Product &amp; AIM Area'!V$1)*(Original!$O$2:$AW$2='by Product &amp; AIM Area'!$B27)*(Original!$O$3:$AW$58))
/
SUMPRODUCT((Original!$C$3:$C$58='by Product &amp; AIM Area'!V$1)*(Original!$J$2:$AW$2='by Product &amp; AIM Area'!$B27))</f>
        <v>0</v>
      </c>
      <c r="W27" s="11">
        <f>SUMPRODUCT((Original!$C$3:$C$58='by Product &amp; AIM Area'!W$1)*(Original!$O$2:$AW$2='by Product &amp; AIM Area'!$B27)*(Original!$O$3:$AW$58))
/
SUMPRODUCT((Original!$C$3:$C$58='by Product &amp; AIM Area'!W$1)*(Original!$J$2:$AW$2='by Product &amp; AIM Area'!$B27))</f>
        <v>0</v>
      </c>
      <c r="X27" s="11" t="e">
        <f>SUMPRODUCT((Original!$C$3:$C$58='by Product &amp; AIM Area'!X$1)*(Original!$O$2:$AW$2='by Product &amp; AIM Area'!$B27)*(Original!$O$3:$AW$58))
/
SUMPRODUCT((Original!$C$3:$C$58='by Product &amp; AIM Area'!X$1)*(Original!$J$2:$AW$2='by Product &amp; AIM Area'!$B27))</f>
        <v>#DIV/0!</v>
      </c>
      <c r="Y27" s="11" t="e">
        <f>SUMPRODUCT((Original!$C$3:$C$58='by Product &amp; AIM Area'!Y$1)*(Original!$O$2:$AW$2='by Product &amp; AIM Area'!$B27)*(Original!$O$3:$AW$58))
/
SUMPRODUCT((Original!$C$3:$C$58='by Product &amp; AIM Area'!Y$1)*(Original!$J$2:$AW$2='by Product &amp; AIM Area'!$B27))</f>
        <v>#DIV/0!</v>
      </c>
      <c r="Z27" s="11">
        <f>SUMPRODUCT((Original!$C$3:$C$58='by Product &amp; AIM Area'!Z$1)*(Original!$O$2:$AW$2='by Product &amp; AIM Area'!$B27)*(Original!$O$3:$AW$58))
/
SUMPRODUCT((Original!$C$3:$C$58='by Product &amp; AIM Area'!Z$1)*(Original!$J$2:$AW$2='by Product &amp; AIM Area'!$B27))</f>
        <v>0</v>
      </c>
      <c r="AA27" s="11">
        <f>SUMPRODUCT((Original!$C$3:$C$58='by Product &amp; AIM Area'!AA$1)*(Original!$O$2:$AW$2='by Product &amp; AIM Area'!$B27)*(Original!$O$3:$AW$58))
/
SUMPRODUCT((Original!$C$3:$C$58='by Product &amp; AIM Area'!AA$1)*(Original!$J$2:$AW$2='by Product &amp; AIM Area'!$B27))</f>
        <v>0</v>
      </c>
      <c r="AB27" s="11">
        <f>SUMPRODUCT((Original!$C$3:$C$58='by Product &amp; AIM Area'!AB$1)*(Original!$O$2:$AW$2='by Product &amp; AIM Area'!$B27)*(Original!$O$3:$AW$58))
/
SUMPRODUCT((Original!$C$3:$C$58='by Product &amp; AIM Area'!AB$1)*(Original!$J$2:$AW$2='by Product &amp; AIM Area'!$B27))</f>
        <v>0</v>
      </c>
      <c r="AC27" s="11">
        <f>SUMPRODUCT((Original!$C$3:$C$58='by Product &amp; AIM Area'!AC$1)*(Original!$O$2:$AW$2='by Product &amp; AIM Area'!$B27)*(Original!$O$3:$AW$58))
/
SUMPRODUCT((Original!$C$3:$C$58='by Product &amp; AIM Area'!AC$1)*(Original!$J$2:$AW$2='by Product &amp; AIM Area'!$B27))</f>
        <v>0</v>
      </c>
      <c r="AD27" s="11" t="e">
        <f t="shared" si="0"/>
        <v>#DIV/0!</v>
      </c>
    </row>
    <row r="28" spans="1:30" ht="30">
      <c r="A28" s="11" t="s">
        <v>5</v>
      </c>
      <c r="B28" s="11" t="s">
        <v>49</v>
      </c>
      <c r="C28" s="11">
        <f>SUMPRODUCT((Original!$C$3:$C$58='by Product &amp; AIM Area'!C$1)*(Original!$O$2:$AW$2='by Product &amp; AIM Area'!$B28)*(Original!$O$3:$AW$58))
/
SUMPRODUCT((Original!$C$3:$C$58='by Product &amp; AIM Area'!C$1)*(Original!$J$2:$AW$2='by Product &amp; AIM Area'!$B28))</f>
        <v>0</v>
      </c>
      <c r="D28" s="11">
        <f>SUMPRODUCT((Original!$C$3:$C$58='by Product &amp; AIM Area'!D$1)*(Original!$O$2:$AW$2='by Product &amp; AIM Area'!$B28)*(Original!$O$3:$AW$58))
/
SUMPRODUCT((Original!$C$3:$C$58='by Product &amp; AIM Area'!D$1)*(Original!$J$2:$AW$2='by Product &amp; AIM Area'!$B28))</f>
        <v>0</v>
      </c>
      <c r="E28" s="11">
        <f>SUMPRODUCT((Original!$C$3:$C$58='by Product &amp; AIM Area'!E$1)*(Original!$O$2:$AW$2='by Product &amp; AIM Area'!$B28)*(Original!$O$3:$AW$58))
/
SUMPRODUCT((Original!$C$3:$C$58='by Product &amp; AIM Area'!E$1)*(Original!$J$2:$AW$2='by Product &amp; AIM Area'!$B28))</f>
        <v>0</v>
      </c>
      <c r="F28" s="11" t="e">
        <f>SUMPRODUCT((Original!$C$3:$C$58='by Product &amp; AIM Area'!F$1)*(Original!$O$2:$AW$2='by Product &amp; AIM Area'!$B28)*(Original!$O$3:$AW$58))
/
SUMPRODUCT((Original!$C$3:$C$58='by Product &amp; AIM Area'!F$1)*(Original!$J$2:$AW$2='by Product &amp; AIM Area'!$B28))</f>
        <v>#DIV/0!</v>
      </c>
      <c r="G28" s="11" t="e">
        <f>SUMPRODUCT((Original!$C$3:$C$58='by Product &amp; AIM Area'!G$1)*(Original!$O$2:$AW$2='by Product &amp; AIM Area'!$B28)*(Original!$O$3:$AW$58))
/
SUMPRODUCT((Original!$C$3:$C$58='by Product &amp; AIM Area'!G$1)*(Original!$J$2:$AW$2='by Product &amp; AIM Area'!$B28))</f>
        <v>#DIV/0!</v>
      </c>
      <c r="H28" s="11" t="e">
        <f>SUMPRODUCT((Original!$C$3:$C$58='by Product &amp; AIM Area'!H$1)*(Original!$O$2:$AW$2='by Product &amp; AIM Area'!$B28)*(Original!$O$3:$AW$58))
/
SUMPRODUCT((Original!$C$3:$C$58='by Product &amp; AIM Area'!H$1)*(Original!$J$2:$AW$2='by Product &amp; AIM Area'!$B28))</f>
        <v>#DIV/0!</v>
      </c>
      <c r="I28" s="11">
        <f>SUMPRODUCT((Original!$C$3:$C$58='by Product &amp; AIM Area'!I$1)*(Original!$O$2:$AW$2='by Product &amp; AIM Area'!$B28)*(Original!$O$3:$AW$58))
/
SUMPRODUCT((Original!$C$3:$C$58='by Product &amp; AIM Area'!I$1)*(Original!$J$2:$AW$2='by Product &amp; AIM Area'!$B28))</f>
        <v>0</v>
      </c>
      <c r="J28" s="11">
        <f>SUMPRODUCT((Original!$C$3:$C$58='by Product &amp; AIM Area'!J$1)*(Original!$O$2:$AW$2='by Product &amp; AIM Area'!$B28)*(Original!$O$3:$AW$58))
/
SUMPRODUCT((Original!$C$3:$C$58='by Product &amp; AIM Area'!J$1)*(Original!$J$2:$AW$2='by Product &amp; AIM Area'!$B28))</f>
        <v>0</v>
      </c>
      <c r="K28" s="11" t="e">
        <f>SUMPRODUCT((Original!$C$3:$C$58='by Product &amp; AIM Area'!K$1)*(Original!$O$2:$AW$2='by Product &amp; AIM Area'!$B28)*(Original!$O$3:$AW$58))
/
SUMPRODUCT((Original!$C$3:$C$58='by Product &amp; AIM Area'!K$1)*(Original!$J$2:$AW$2='by Product &amp; AIM Area'!$B28))</f>
        <v>#DIV/0!</v>
      </c>
      <c r="L28" s="11" t="e">
        <f>SUMPRODUCT((Original!$C$3:$C$58='by Product &amp; AIM Area'!L$1)*(Original!$O$2:$AW$2='by Product &amp; AIM Area'!$B28)*(Original!$O$3:$AW$58))
/
SUMPRODUCT((Original!$C$3:$C$58='by Product &amp; AIM Area'!L$1)*(Original!$J$2:$AW$2='by Product &amp; AIM Area'!$B28))</f>
        <v>#DIV/0!</v>
      </c>
      <c r="M28" s="11">
        <f>SUMPRODUCT((Original!$C$3:$C$58='by Product &amp; AIM Area'!M$1)*(Original!$O$2:$AW$2='by Product &amp; AIM Area'!$B28)*(Original!$O$3:$AW$58))
/
SUMPRODUCT((Original!$C$3:$C$58='by Product &amp; AIM Area'!M$1)*(Original!$J$2:$AW$2='by Product &amp; AIM Area'!$B28))</f>
        <v>0</v>
      </c>
      <c r="N28" s="11" t="e">
        <f>SUMPRODUCT((Original!$C$3:$C$58='by Product &amp; AIM Area'!N$1)*(Original!$O$2:$AW$2='by Product &amp; AIM Area'!$B28)*(Original!$O$3:$AW$58))
/
SUMPRODUCT((Original!$C$3:$C$58='by Product &amp; AIM Area'!N$1)*(Original!$J$2:$AW$2='by Product &amp; AIM Area'!$B28))</f>
        <v>#DIV/0!</v>
      </c>
      <c r="O28" s="11">
        <f>SUMPRODUCT((Original!$C$3:$C$58='by Product &amp; AIM Area'!O$1)*(Original!$O$2:$AW$2='by Product &amp; AIM Area'!$B28)*(Original!$O$3:$AW$58))
/
SUMPRODUCT((Original!$C$3:$C$58='by Product &amp; AIM Area'!O$1)*(Original!$J$2:$AW$2='by Product &amp; AIM Area'!$B28))</f>
        <v>1</v>
      </c>
      <c r="P28" s="11" t="e">
        <f>SUMPRODUCT((Original!$C$3:$C$58='by Product &amp; AIM Area'!P$1)*(Original!$O$2:$AW$2='by Product &amp; AIM Area'!$B28)*(Original!$O$3:$AW$58))
/
SUMPRODUCT((Original!$C$3:$C$58='by Product &amp; AIM Area'!P$1)*(Original!$J$2:$AW$2='by Product &amp; AIM Area'!$B28))</f>
        <v>#DIV/0!</v>
      </c>
      <c r="Q28" s="11">
        <f>SUMPRODUCT((Original!$C$3:$C$58='by Product &amp; AIM Area'!Q$1)*(Original!$O$2:$AW$2='by Product &amp; AIM Area'!$B28)*(Original!$O$3:$AW$58))
/
SUMPRODUCT((Original!$C$3:$C$58='by Product &amp; AIM Area'!Q$1)*(Original!$J$2:$AW$2='by Product &amp; AIM Area'!$B28))</f>
        <v>0</v>
      </c>
      <c r="R28" s="11">
        <f>SUMPRODUCT((Original!$C$3:$C$58='by Product &amp; AIM Area'!R$1)*(Original!$O$2:$AW$2='by Product &amp; AIM Area'!$B28)*(Original!$O$3:$AW$58))
/
SUMPRODUCT((Original!$C$3:$C$58='by Product &amp; AIM Area'!R$1)*(Original!$J$2:$AW$2='by Product &amp; AIM Area'!$B28))</f>
        <v>0</v>
      </c>
      <c r="S28" s="11">
        <f>SUMPRODUCT((Original!$C$3:$C$58='by Product &amp; AIM Area'!S$1)*(Original!$O$2:$AW$2='by Product &amp; AIM Area'!$B28)*(Original!$O$3:$AW$58))
/
SUMPRODUCT((Original!$C$3:$C$58='by Product &amp; AIM Area'!S$1)*(Original!$J$2:$AW$2='by Product &amp; AIM Area'!$B28))</f>
        <v>0.125</v>
      </c>
      <c r="T28" s="11">
        <f>SUMPRODUCT((Original!$C$3:$C$58='by Product &amp; AIM Area'!T$1)*(Original!$O$2:$AW$2='by Product &amp; AIM Area'!$B28)*(Original!$O$3:$AW$58))
/
SUMPRODUCT((Original!$C$3:$C$58='by Product &amp; AIM Area'!T$1)*(Original!$J$2:$AW$2='by Product &amp; AIM Area'!$B28))</f>
        <v>0</v>
      </c>
      <c r="U28" s="11" t="e">
        <f>SUMPRODUCT((Original!$C$3:$C$58='by Product &amp; AIM Area'!U$1)*(Original!$O$2:$AW$2='by Product &amp; AIM Area'!$B28)*(Original!$O$3:$AW$58))
/
SUMPRODUCT((Original!$C$3:$C$58='by Product &amp; AIM Area'!U$1)*(Original!$J$2:$AW$2='by Product &amp; AIM Area'!$B28))</f>
        <v>#DIV/0!</v>
      </c>
      <c r="V28" s="11">
        <f>SUMPRODUCT((Original!$C$3:$C$58='by Product &amp; AIM Area'!V$1)*(Original!$O$2:$AW$2='by Product &amp; AIM Area'!$B28)*(Original!$O$3:$AW$58))
/
SUMPRODUCT((Original!$C$3:$C$58='by Product &amp; AIM Area'!V$1)*(Original!$J$2:$AW$2='by Product &amp; AIM Area'!$B28))</f>
        <v>0</v>
      </c>
      <c r="W28" s="11">
        <f>SUMPRODUCT((Original!$C$3:$C$58='by Product &amp; AIM Area'!W$1)*(Original!$O$2:$AW$2='by Product &amp; AIM Area'!$B28)*(Original!$O$3:$AW$58))
/
SUMPRODUCT((Original!$C$3:$C$58='by Product &amp; AIM Area'!W$1)*(Original!$J$2:$AW$2='by Product &amp; AIM Area'!$B28))</f>
        <v>0</v>
      </c>
      <c r="X28" s="11" t="e">
        <f>SUMPRODUCT((Original!$C$3:$C$58='by Product &amp; AIM Area'!X$1)*(Original!$O$2:$AW$2='by Product &amp; AIM Area'!$B28)*(Original!$O$3:$AW$58))
/
SUMPRODUCT((Original!$C$3:$C$58='by Product &amp; AIM Area'!X$1)*(Original!$J$2:$AW$2='by Product &amp; AIM Area'!$B28))</f>
        <v>#DIV/0!</v>
      </c>
      <c r="Y28" s="11" t="e">
        <f>SUMPRODUCT((Original!$C$3:$C$58='by Product &amp; AIM Area'!Y$1)*(Original!$O$2:$AW$2='by Product &amp; AIM Area'!$B28)*(Original!$O$3:$AW$58))
/
SUMPRODUCT((Original!$C$3:$C$58='by Product &amp; AIM Area'!Y$1)*(Original!$J$2:$AW$2='by Product &amp; AIM Area'!$B28))</f>
        <v>#DIV/0!</v>
      </c>
      <c r="Z28" s="11">
        <f>SUMPRODUCT((Original!$C$3:$C$58='by Product &amp; AIM Area'!Z$1)*(Original!$O$2:$AW$2='by Product &amp; AIM Area'!$B28)*(Original!$O$3:$AW$58))
/
SUMPRODUCT((Original!$C$3:$C$58='by Product &amp; AIM Area'!Z$1)*(Original!$J$2:$AW$2='by Product &amp; AIM Area'!$B28))</f>
        <v>0</v>
      </c>
      <c r="AA28" s="11">
        <f>SUMPRODUCT((Original!$C$3:$C$58='by Product &amp; AIM Area'!AA$1)*(Original!$O$2:$AW$2='by Product &amp; AIM Area'!$B28)*(Original!$O$3:$AW$58))
/
SUMPRODUCT((Original!$C$3:$C$58='by Product &amp; AIM Area'!AA$1)*(Original!$J$2:$AW$2='by Product &amp; AIM Area'!$B28))</f>
        <v>0</v>
      </c>
      <c r="AB28" s="11">
        <f>SUMPRODUCT((Original!$C$3:$C$58='by Product &amp; AIM Area'!AB$1)*(Original!$O$2:$AW$2='by Product &amp; AIM Area'!$B28)*(Original!$O$3:$AW$58))
/
SUMPRODUCT((Original!$C$3:$C$58='by Product &amp; AIM Area'!AB$1)*(Original!$J$2:$AW$2='by Product &amp; AIM Area'!$B28))</f>
        <v>0</v>
      </c>
      <c r="AC28" s="11">
        <f>SUMPRODUCT((Original!$C$3:$C$58='by Product &amp; AIM Area'!AC$1)*(Original!$O$2:$AW$2='by Product &amp; AIM Area'!$B28)*(Original!$O$3:$AW$58))
/
SUMPRODUCT((Original!$C$3:$C$58='by Product &amp; AIM Area'!AC$1)*(Original!$J$2:$AW$2='by Product &amp; AIM Area'!$B28))</f>
        <v>0</v>
      </c>
      <c r="AD28" s="11" t="e">
        <f t="shared" si="0"/>
        <v>#DIV/0!</v>
      </c>
    </row>
    <row r="29" spans="1:30" ht="30">
      <c r="A29" s="11" t="s">
        <v>5</v>
      </c>
      <c r="B29" s="11" t="s">
        <v>50</v>
      </c>
      <c r="C29" s="11">
        <f>SUMPRODUCT((Original!$C$3:$C$58='by Product &amp; AIM Area'!C$1)*(Original!$O$2:$AW$2='by Product &amp; AIM Area'!$B29)*(Original!$O$3:$AW$58))
/
SUMPRODUCT((Original!$C$3:$C$58='by Product &amp; AIM Area'!C$1)*(Original!$J$2:$AW$2='by Product &amp; AIM Area'!$B29))</f>
        <v>1</v>
      </c>
      <c r="D29" s="11">
        <f>SUMPRODUCT((Original!$C$3:$C$58='by Product &amp; AIM Area'!D$1)*(Original!$O$2:$AW$2='by Product &amp; AIM Area'!$B29)*(Original!$O$3:$AW$58))
/
SUMPRODUCT((Original!$C$3:$C$58='by Product &amp; AIM Area'!D$1)*(Original!$J$2:$AW$2='by Product &amp; AIM Area'!$B29))</f>
        <v>0</v>
      </c>
      <c r="E29" s="11">
        <f>SUMPRODUCT((Original!$C$3:$C$58='by Product &amp; AIM Area'!E$1)*(Original!$O$2:$AW$2='by Product &amp; AIM Area'!$B29)*(Original!$O$3:$AW$58))
/
SUMPRODUCT((Original!$C$3:$C$58='by Product &amp; AIM Area'!E$1)*(Original!$J$2:$AW$2='by Product &amp; AIM Area'!$B29))</f>
        <v>1.5</v>
      </c>
      <c r="F29" s="11" t="e">
        <f>SUMPRODUCT((Original!$C$3:$C$58='by Product &amp; AIM Area'!F$1)*(Original!$O$2:$AW$2='by Product &amp; AIM Area'!$B29)*(Original!$O$3:$AW$58))
/
SUMPRODUCT((Original!$C$3:$C$58='by Product &amp; AIM Area'!F$1)*(Original!$J$2:$AW$2='by Product &amp; AIM Area'!$B29))</f>
        <v>#DIV/0!</v>
      </c>
      <c r="G29" s="11" t="e">
        <f>SUMPRODUCT((Original!$C$3:$C$58='by Product &amp; AIM Area'!G$1)*(Original!$O$2:$AW$2='by Product &amp; AIM Area'!$B29)*(Original!$O$3:$AW$58))
/
SUMPRODUCT((Original!$C$3:$C$58='by Product &amp; AIM Area'!G$1)*(Original!$J$2:$AW$2='by Product &amp; AIM Area'!$B29))</f>
        <v>#DIV/0!</v>
      </c>
      <c r="H29" s="11" t="e">
        <f>SUMPRODUCT((Original!$C$3:$C$58='by Product &amp; AIM Area'!H$1)*(Original!$O$2:$AW$2='by Product &amp; AIM Area'!$B29)*(Original!$O$3:$AW$58))
/
SUMPRODUCT((Original!$C$3:$C$58='by Product &amp; AIM Area'!H$1)*(Original!$J$2:$AW$2='by Product &amp; AIM Area'!$B29))</f>
        <v>#DIV/0!</v>
      </c>
      <c r="I29" s="11">
        <f>SUMPRODUCT((Original!$C$3:$C$58='by Product &amp; AIM Area'!I$1)*(Original!$O$2:$AW$2='by Product &amp; AIM Area'!$B29)*(Original!$O$3:$AW$58))
/
SUMPRODUCT((Original!$C$3:$C$58='by Product &amp; AIM Area'!I$1)*(Original!$J$2:$AW$2='by Product &amp; AIM Area'!$B29))</f>
        <v>0</v>
      </c>
      <c r="J29" s="11">
        <f>SUMPRODUCT((Original!$C$3:$C$58='by Product &amp; AIM Area'!J$1)*(Original!$O$2:$AW$2='by Product &amp; AIM Area'!$B29)*(Original!$O$3:$AW$58))
/
SUMPRODUCT((Original!$C$3:$C$58='by Product &amp; AIM Area'!J$1)*(Original!$J$2:$AW$2='by Product &amp; AIM Area'!$B29))</f>
        <v>1</v>
      </c>
      <c r="K29" s="11" t="e">
        <f>SUMPRODUCT((Original!$C$3:$C$58='by Product &amp; AIM Area'!K$1)*(Original!$O$2:$AW$2='by Product &amp; AIM Area'!$B29)*(Original!$O$3:$AW$58))
/
SUMPRODUCT((Original!$C$3:$C$58='by Product &amp; AIM Area'!K$1)*(Original!$J$2:$AW$2='by Product &amp; AIM Area'!$B29))</f>
        <v>#DIV/0!</v>
      </c>
      <c r="L29" s="11" t="e">
        <f>SUMPRODUCT((Original!$C$3:$C$58='by Product &amp; AIM Area'!L$1)*(Original!$O$2:$AW$2='by Product &amp; AIM Area'!$B29)*(Original!$O$3:$AW$58))
/
SUMPRODUCT((Original!$C$3:$C$58='by Product &amp; AIM Area'!L$1)*(Original!$J$2:$AW$2='by Product &amp; AIM Area'!$B29))</f>
        <v>#DIV/0!</v>
      </c>
      <c r="M29" s="11">
        <f>SUMPRODUCT((Original!$C$3:$C$58='by Product &amp; AIM Area'!M$1)*(Original!$O$2:$AW$2='by Product &amp; AIM Area'!$B29)*(Original!$O$3:$AW$58))
/
SUMPRODUCT((Original!$C$3:$C$58='by Product &amp; AIM Area'!M$1)*(Original!$J$2:$AW$2='by Product &amp; AIM Area'!$B29))</f>
        <v>0</v>
      </c>
      <c r="N29" s="11" t="e">
        <f>SUMPRODUCT((Original!$C$3:$C$58='by Product &amp; AIM Area'!N$1)*(Original!$O$2:$AW$2='by Product &amp; AIM Area'!$B29)*(Original!$O$3:$AW$58))
/
SUMPRODUCT((Original!$C$3:$C$58='by Product &amp; AIM Area'!N$1)*(Original!$J$2:$AW$2='by Product &amp; AIM Area'!$B29))</f>
        <v>#DIV/0!</v>
      </c>
      <c r="O29" s="11">
        <f>SUMPRODUCT((Original!$C$3:$C$58='by Product &amp; AIM Area'!O$1)*(Original!$O$2:$AW$2='by Product &amp; AIM Area'!$B29)*(Original!$O$3:$AW$58))
/
SUMPRODUCT((Original!$C$3:$C$58='by Product &amp; AIM Area'!O$1)*(Original!$J$2:$AW$2='by Product &amp; AIM Area'!$B29))</f>
        <v>3</v>
      </c>
      <c r="P29" s="11" t="e">
        <f>SUMPRODUCT((Original!$C$3:$C$58='by Product &amp; AIM Area'!P$1)*(Original!$O$2:$AW$2='by Product &amp; AIM Area'!$B29)*(Original!$O$3:$AW$58))
/
SUMPRODUCT((Original!$C$3:$C$58='by Product &amp; AIM Area'!P$1)*(Original!$J$2:$AW$2='by Product &amp; AIM Area'!$B29))</f>
        <v>#DIV/0!</v>
      </c>
      <c r="Q29" s="11">
        <f>SUMPRODUCT((Original!$C$3:$C$58='by Product &amp; AIM Area'!Q$1)*(Original!$O$2:$AW$2='by Product &amp; AIM Area'!$B29)*(Original!$O$3:$AW$58))
/
SUMPRODUCT((Original!$C$3:$C$58='by Product &amp; AIM Area'!Q$1)*(Original!$J$2:$AW$2='by Product &amp; AIM Area'!$B29))</f>
        <v>0</v>
      </c>
      <c r="R29" s="11">
        <f>SUMPRODUCT((Original!$C$3:$C$58='by Product &amp; AIM Area'!R$1)*(Original!$O$2:$AW$2='by Product &amp; AIM Area'!$B29)*(Original!$O$3:$AW$58))
/
SUMPRODUCT((Original!$C$3:$C$58='by Product &amp; AIM Area'!R$1)*(Original!$J$2:$AW$2='by Product &amp; AIM Area'!$B29))</f>
        <v>1</v>
      </c>
      <c r="S29" s="11">
        <f>SUMPRODUCT((Original!$C$3:$C$58='by Product &amp; AIM Area'!S$1)*(Original!$O$2:$AW$2='by Product &amp; AIM Area'!$B29)*(Original!$O$3:$AW$58))
/
SUMPRODUCT((Original!$C$3:$C$58='by Product &amp; AIM Area'!S$1)*(Original!$J$2:$AW$2='by Product &amp; AIM Area'!$B29))</f>
        <v>1.625</v>
      </c>
      <c r="T29" s="11">
        <f>SUMPRODUCT((Original!$C$3:$C$58='by Product &amp; AIM Area'!T$1)*(Original!$O$2:$AW$2='by Product &amp; AIM Area'!$B29)*(Original!$O$3:$AW$58))
/
SUMPRODUCT((Original!$C$3:$C$58='by Product &amp; AIM Area'!T$1)*(Original!$J$2:$AW$2='by Product &amp; AIM Area'!$B29))</f>
        <v>1</v>
      </c>
      <c r="U29" s="11" t="e">
        <f>SUMPRODUCT((Original!$C$3:$C$58='by Product &amp; AIM Area'!U$1)*(Original!$O$2:$AW$2='by Product &amp; AIM Area'!$B29)*(Original!$O$3:$AW$58))
/
SUMPRODUCT((Original!$C$3:$C$58='by Product &amp; AIM Area'!U$1)*(Original!$J$2:$AW$2='by Product &amp; AIM Area'!$B29))</f>
        <v>#DIV/0!</v>
      </c>
      <c r="V29" s="11">
        <f>SUMPRODUCT((Original!$C$3:$C$58='by Product &amp; AIM Area'!V$1)*(Original!$O$2:$AW$2='by Product &amp; AIM Area'!$B29)*(Original!$O$3:$AW$58))
/
SUMPRODUCT((Original!$C$3:$C$58='by Product &amp; AIM Area'!V$1)*(Original!$J$2:$AW$2='by Product &amp; AIM Area'!$B29))</f>
        <v>0</v>
      </c>
      <c r="W29" s="11">
        <f>SUMPRODUCT((Original!$C$3:$C$58='by Product &amp; AIM Area'!W$1)*(Original!$O$2:$AW$2='by Product &amp; AIM Area'!$B29)*(Original!$O$3:$AW$58))
/
SUMPRODUCT((Original!$C$3:$C$58='by Product &amp; AIM Area'!W$1)*(Original!$J$2:$AW$2='by Product &amp; AIM Area'!$B29))</f>
        <v>1</v>
      </c>
      <c r="X29" s="11" t="e">
        <f>SUMPRODUCT((Original!$C$3:$C$58='by Product &amp; AIM Area'!X$1)*(Original!$O$2:$AW$2='by Product &amp; AIM Area'!$B29)*(Original!$O$3:$AW$58))
/
SUMPRODUCT((Original!$C$3:$C$58='by Product &amp; AIM Area'!X$1)*(Original!$J$2:$AW$2='by Product &amp; AIM Area'!$B29))</f>
        <v>#DIV/0!</v>
      </c>
      <c r="Y29" s="11" t="e">
        <f>SUMPRODUCT((Original!$C$3:$C$58='by Product &amp; AIM Area'!Y$1)*(Original!$O$2:$AW$2='by Product &amp; AIM Area'!$B29)*(Original!$O$3:$AW$58))
/
SUMPRODUCT((Original!$C$3:$C$58='by Product &amp; AIM Area'!Y$1)*(Original!$J$2:$AW$2='by Product &amp; AIM Area'!$B29))</f>
        <v>#DIV/0!</v>
      </c>
      <c r="Z29" s="11">
        <f>SUMPRODUCT((Original!$C$3:$C$58='by Product &amp; AIM Area'!Z$1)*(Original!$O$2:$AW$2='by Product &amp; AIM Area'!$B29)*(Original!$O$3:$AW$58))
/
SUMPRODUCT((Original!$C$3:$C$58='by Product &amp; AIM Area'!Z$1)*(Original!$J$2:$AW$2='by Product &amp; AIM Area'!$B29))</f>
        <v>0</v>
      </c>
      <c r="AA29" s="11">
        <f>SUMPRODUCT((Original!$C$3:$C$58='by Product &amp; AIM Area'!AA$1)*(Original!$O$2:$AW$2='by Product &amp; AIM Area'!$B29)*(Original!$O$3:$AW$58))
/
SUMPRODUCT((Original!$C$3:$C$58='by Product &amp; AIM Area'!AA$1)*(Original!$J$2:$AW$2='by Product &amp; AIM Area'!$B29))</f>
        <v>1</v>
      </c>
      <c r="AB29" s="11">
        <f>SUMPRODUCT((Original!$C$3:$C$58='by Product &amp; AIM Area'!AB$1)*(Original!$O$2:$AW$2='by Product &amp; AIM Area'!$B29)*(Original!$O$3:$AW$58))
/
SUMPRODUCT((Original!$C$3:$C$58='by Product &amp; AIM Area'!AB$1)*(Original!$J$2:$AW$2='by Product &amp; AIM Area'!$B29))</f>
        <v>0</v>
      </c>
      <c r="AC29" s="11">
        <f>SUMPRODUCT((Original!$C$3:$C$58='by Product &amp; AIM Area'!AC$1)*(Original!$O$2:$AW$2='by Product &amp; AIM Area'!$B29)*(Original!$O$3:$AW$58))
/
SUMPRODUCT((Original!$C$3:$C$58='by Product &amp; AIM Area'!AC$1)*(Original!$J$2:$AW$2='by Product &amp; AIM Area'!$B29))</f>
        <v>0</v>
      </c>
      <c r="AD29" s="11" t="e">
        <f t="shared" si="0"/>
        <v>#DIV/0!</v>
      </c>
    </row>
    <row r="30" spans="1:30" ht="30">
      <c r="A30" s="11" t="s">
        <v>5</v>
      </c>
      <c r="B30" s="11" t="s">
        <v>51</v>
      </c>
      <c r="C30" s="11">
        <f>SUMPRODUCT((Original!$C$3:$C$58='by Product &amp; AIM Area'!C$1)*(Original!$O$2:$AW$2='by Product &amp; AIM Area'!$B30)*(Original!$O$3:$AW$58))
/
SUMPRODUCT((Original!$C$3:$C$58='by Product &amp; AIM Area'!C$1)*(Original!$J$2:$AW$2='by Product &amp; AIM Area'!$B30))</f>
        <v>1</v>
      </c>
      <c r="D30" s="11">
        <f>SUMPRODUCT((Original!$C$3:$C$58='by Product &amp; AIM Area'!D$1)*(Original!$O$2:$AW$2='by Product &amp; AIM Area'!$B30)*(Original!$O$3:$AW$58))
/
SUMPRODUCT((Original!$C$3:$C$58='by Product &amp; AIM Area'!D$1)*(Original!$J$2:$AW$2='by Product &amp; AIM Area'!$B30))</f>
        <v>1</v>
      </c>
      <c r="E30" s="11">
        <f>SUMPRODUCT((Original!$C$3:$C$58='by Product &amp; AIM Area'!E$1)*(Original!$O$2:$AW$2='by Product &amp; AIM Area'!$B30)*(Original!$O$3:$AW$58))
/
SUMPRODUCT((Original!$C$3:$C$58='by Product &amp; AIM Area'!E$1)*(Original!$J$2:$AW$2='by Product &amp; AIM Area'!$B30))</f>
        <v>2</v>
      </c>
      <c r="F30" s="11" t="e">
        <f>SUMPRODUCT((Original!$C$3:$C$58='by Product &amp; AIM Area'!F$1)*(Original!$O$2:$AW$2='by Product &amp; AIM Area'!$B30)*(Original!$O$3:$AW$58))
/
SUMPRODUCT((Original!$C$3:$C$58='by Product &amp; AIM Area'!F$1)*(Original!$J$2:$AW$2='by Product &amp; AIM Area'!$B30))</f>
        <v>#DIV/0!</v>
      </c>
      <c r="G30" s="11" t="e">
        <f>SUMPRODUCT((Original!$C$3:$C$58='by Product &amp; AIM Area'!G$1)*(Original!$O$2:$AW$2='by Product &amp; AIM Area'!$B30)*(Original!$O$3:$AW$58))
/
SUMPRODUCT((Original!$C$3:$C$58='by Product &amp; AIM Area'!G$1)*(Original!$J$2:$AW$2='by Product &amp; AIM Area'!$B30))</f>
        <v>#DIV/0!</v>
      </c>
      <c r="H30" s="11" t="e">
        <f>SUMPRODUCT((Original!$C$3:$C$58='by Product &amp; AIM Area'!H$1)*(Original!$O$2:$AW$2='by Product &amp; AIM Area'!$B30)*(Original!$O$3:$AW$58))
/
SUMPRODUCT((Original!$C$3:$C$58='by Product &amp; AIM Area'!H$1)*(Original!$J$2:$AW$2='by Product &amp; AIM Area'!$B30))</f>
        <v>#DIV/0!</v>
      </c>
      <c r="I30" s="11">
        <f>SUMPRODUCT((Original!$C$3:$C$58='by Product &amp; AIM Area'!I$1)*(Original!$O$2:$AW$2='by Product &amp; AIM Area'!$B30)*(Original!$O$3:$AW$58))
/
SUMPRODUCT((Original!$C$3:$C$58='by Product &amp; AIM Area'!I$1)*(Original!$J$2:$AW$2='by Product &amp; AIM Area'!$B30))</f>
        <v>1</v>
      </c>
      <c r="J30" s="11">
        <f>SUMPRODUCT((Original!$C$3:$C$58='by Product &amp; AIM Area'!J$1)*(Original!$O$2:$AW$2='by Product &amp; AIM Area'!$B30)*(Original!$O$3:$AW$58))
/
SUMPRODUCT((Original!$C$3:$C$58='by Product &amp; AIM Area'!J$1)*(Original!$J$2:$AW$2='by Product &amp; AIM Area'!$B30))</f>
        <v>1</v>
      </c>
      <c r="K30" s="11" t="e">
        <f>SUMPRODUCT((Original!$C$3:$C$58='by Product &amp; AIM Area'!K$1)*(Original!$O$2:$AW$2='by Product &amp; AIM Area'!$B30)*(Original!$O$3:$AW$58))
/
SUMPRODUCT((Original!$C$3:$C$58='by Product &amp; AIM Area'!K$1)*(Original!$J$2:$AW$2='by Product &amp; AIM Area'!$B30))</f>
        <v>#DIV/0!</v>
      </c>
      <c r="L30" s="11" t="e">
        <f>SUMPRODUCT((Original!$C$3:$C$58='by Product &amp; AIM Area'!L$1)*(Original!$O$2:$AW$2='by Product &amp; AIM Area'!$B30)*(Original!$O$3:$AW$58))
/
SUMPRODUCT((Original!$C$3:$C$58='by Product &amp; AIM Area'!L$1)*(Original!$J$2:$AW$2='by Product &amp; AIM Area'!$B30))</f>
        <v>#DIV/0!</v>
      </c>
      <c r="M30" s="11">
        <f>SUMPRODUCT((Original!$C$3:$C$58='by Product &amp; AIM Area'!M$1)*(Original!$O$2:$AW$2='by Product &amp; AIM Area'!$B30)*(Original!$O$3:$AW$58))
/
SUMPRODUCT((Original!$C$3:$C$58='by Product &amp; AIM Area'!M$1)*(Original!$J$2:$AW$2='by Product &amp; AIM Area'!$B30))</f>
        <v>1</v>
      </c>
      <c r="N30" s="11" t="e">
        <f>SUMPRODUCT((Original!$C$3:$C$58='by Product &amp; AIM Area'!N$1)*(Original!$O$2:$AW$2='by Product &amp; AIM Area'!$B30)*(Original!$O$3:$AW$58))
/
SUMPRODUCT((Original!$C$3:$C$58='by Product &amp; AIM Area'!N$1)*(Original!$J$2:$AW$2='by Product &amp; AIM Area'!$B30))</f>
        <v>#DIV/0!</v>
      </c>
      <c r="O30" s="11">
        <f>SUMPRODUCT((Original!$C$3:$C$58='by Product &amp; AIM Area'!O$1)*(Original!$O$2:$AW$2='by Product &amp; AIM Area'!$B30)*(Original!$O$3:$AW$58))
/
SUMPRODUCT((Original!$C$3:$C$58='by Product &amp; AIM Area'!O$1)*(Original!$J$2:$AW$2='by Product &amp; AIM Area'!$B30))</f>
        <v>1</v>
      </c>
      <c r="P30" s="11" t="e">
        <f>SUMPRODUCT((Original!$C$3:$C$58='by Product &amp; AIM Area'!P$1)*(Original!$O$2:$AW$2='by Product &amp; AIM Area'!$B30)*(Original!$O$3:$AW$58))
/
SUMPRODUCT((Original!$C$3:$C$58='by Product &amp; AIM Area'!P$1)*(Original!$J$2:$AW$2='by Product &amp; AIM Area'!$B30))</f>
        <v>#DIV/0!</v>
      </c>
      <c r="Q30" s="11">
        <f>SUMPRODUCT((Original!$C$3:$C$58='by Product &amp; AIM Area'!Q$1)*(Original!$O$2:$AW$2='by Product &amp; AIM Area'!$B30)*(Original!$O$3:$AW$58))
/
SUMPRODUCT((Original!$C$3:$C$58='by Product &amp; AIM Area'!Q$1)*(Original!$J$2:$AW$2='by Product &amp; AIM Area'!$B30))</f>
        <v>0</v>
      </c>
      <c r="R30" s="11">
        <f>SUMPRODUCT((Original!$C$3:$C$58='by Product &amp; AIM Area'!R$1)*(Original!$O$2:$AW$2='by Product &amp; AIM Area'!$B30)*(Original!$O$3:$AW$58))
/
SUMPRODUCT((Original!$C$3:$C$58='by Product &amp; AIM Area'!R$1)*(Original!$J$2:$AW$2='by Product &amp; AIM Area'!$B30))</f>
        <v>1.25</v>
      </c>
      <c r="S30" s="11">
        <f>SUMPRODUCT((Original!$C$3:$C$58='by Product &amp; AIM Area'!S$1)*(Original!$O$2:$AW$2='by Product &amp; AIM Area'!$B30)*(Original!$O$3:$AW$58))
/
SUMPRODUCT((Original!$C$3:$C$58='by Product &amp; AIM Area'!S$1)*(Original!$J$2:$AW$2='by Product &amp; AIM Area'!$B30))</f>
        <v>1.25</v>
      </c>
      <c r="T30" s="11">
        <f>SUMPRODUCT((Original!$C$3:$C$58='by Product &amp; AIM Area'!T$1)*(Original!$O$2:$AW$2='by Product &amp; AIM Area'!$B30)*(Original!$O$3:$AW$58))
/
SUMPRODUCT((Original!$C$3:$C$58='by Product &amp; AIM Area'!T$1)*(Original!$J$2:$AW$2='by Product &amp; AIM Area'!$B30))</f>
        <v>1</v>
      </c>
      <c r="U30" s="11" t="e">
        <f>SUMPRODUCT((Original!$C$3:$C$58='by Product &amp; AIM Area'!U$1)*(Original!$O$2:$AW$2='by Product &amp; AIM Area'!$B30)*(Original!$O$3:$AW$58))
/
SUMPRODUCT((Original!$C$3:$C$58='by Product &amp; AIM Area'!U$1)*(Original!$J$2:$AW$2='by Product &amp; AIM Area'!$B30))</f>
        <v>#DIV/0!</v>
      </c>
      <c r="V30" s="11">
        <f>SUMPRODUCT((Original!$C$3:$C$58='by Product &amp; AIM Area'!V$1)*(Original!$O$2:$AW$2='by Product &amp; AIM Area'!$B30)*(Original!$O$3:$AW$58))
/
SUMPRODUCT((Original!$C$3:$C$58='by Product &amp; AIM Area'!V$1)*(Original!$J$2:$AW$2='by Product &amp; AIM Area'!$B30))</f>
        <v>1</v>
      </c>
      <c r="W30" s="11">
        <f>SUMPRODUCT((Original!$C$3:$C$58='by Product &amp; AIM Area'!W$1)*(Original!$O$2:$AW$2='by Product &amp; AIM Area'!$B30)*(Original!$O$3:$AW$58))
/
SUMPRODUCT((Original!$C$3:$C$58='by Product &amp; AIM Area'!W$1)*(Original!$J$2:$AW$2='by Product &amp; AIM Area'!$B30))</f>
        <v>1</v>
      </c>
      <c r="X30" s="11" t="e">
        <f>SUMPRODUCT((Original!$C$3:$C$58='by Product &amp; AIM Area'!X$1)*(Original!$O$2:$AW$2='by Product &amp; AIM Area'!$B30)*(Original!$O$3:$AW$58))
/
SUMPRODUCT((Original!$C$3:$C$58='by Product &amp; AIM Area'!X$1)*(Original!$J$2:$AW$2='by Product &amp; AIM Area'!$B30))</f>
        <v>#DIV/0!</v>
      </c>
      <c r="Y30" s="11" t="e">
        <f>SUMPRODUCT((Original!$C$3:$C$58='by Product &amp; AIM Area'!Y$1)*(Original!$O$2:$AW$2='by Product &amp; AIM Area'!$B30)*(Original!$O$3:$AW$58))
/
SUMPRODUCT((Original!$C$3:$C$58='by Product &amp; AIM Area'!Y$1)*(Original!$J$2:$AW$2='by Product &amp; AIM Area'!$B30))</f>
        <v>#DIV/0!</v>
      </c>
      <c r="Z30" s="11">
        <f>SUMPRODUCT((Original!$C$3:$C$58='by Product &amp; AIM Area'!Z$1)*(Original!$O$2:$AW$2='by Product &amp; AIM Area'!$B30)*(Original!$O$3:$AW$58))
/
SUMPRODUCT((Original!$C$3:$C$58='by Product &amp; AIM Area'!Z$1)*(Original!$J$2:$AW$2='by Product &amp; AIM Area'!$B30))</f>
        <v>1</v>
      </c>
      <c r="AA30" s="11">
        <f>SUMPRODUCT((Original!$C$3:$C$58='by Product &amp; AIM Area'!AA$1)*(Original!$O$2:$AW$2='by Product &amp; AIM Area'!$B30)*(Original!$O$3:$AW$58))
/
SUMPRODUCT((Original!$C$3:$C$58='by Product &amp; AIM Area'!AA$1)*(Original!$J$2:$AW$2='by Product &amp; AIM Area'!$B30))</f>
        <v>1</v>
      </c>
      <c r="AB30" s="11">
        <f>SUMPRODUCT((Original!$C$3:$C$58='by Product &amp; AIM Area'!AB$1)*(Original!$O$2:$AW$2='by Product &amp; AIM Area'!$B30)*(Original!$O$3:$AW$58))
/
SUMPRODUCT((Original!$C$3:$C$58='by Product &amp; AIM Area'!AB$1)*(Original!$J$2:$AW$2='by Product &amp; AIM Area'!$B30))</f>
        <v>0.5</v>
      </c>
      <c r="AC30" s="11">
        <f>SUMPRODUCT((Original!$C$3:$C$58='by Product &amp; AIM Area'!AC$1)*(Original!$O$2:$AW$2='by Product &amp; AIM Area'!$B30)*(Original!$O$3:$AW$58))
/
SUMPRODUCT((Original!$C$3:$C$58='by Product &amp; AIM Area'!AC$1)*(Original!$J$2:$AW$2='by Product &amp; AIM Area'!$B30))</f>
        <v>0.6</v>
      </c>
      <c r="AD30" s="11" t="e">
        <f t="shared" si="0"/>
        <v>#DIV/0!</v>
      </c>
    </row>
    <row r="31" spans="1:30" ht="30">
      <c r="A31" s="11" t="s">
        <v>5</v>
      </c>
      <c r="B31" s="11" t="s">
        <v>52</v>
      </c>
      <c r="C31" s="11">
        <f>SUMPRODUCT((Original!$C$3:$C$58='by Product &amp; AIM Area'!C$1)*(Original!$O$2:$AW$2='by Product &amp; AIM Area'!$B31)*(Original!$O$3:$AW$58))
/
SUMPRODUCT((Original!$C$3:$C$58='by Product &amp; AIM Area'!C$1)*(Original!$J$2:$AW$2='by Product &amp; AIM Area'!$B31))</f>
        <v>1</v>
      </c>
      <c r="D31" s="11">
        <f>SUMPRODUCT((Original!$C$3:$C$58='by Product &amp; AIM Area'!D$1)*(Original!$O$2:$AW$2='by Product &amp; AIM Area'!$B31)*(Original!$O$3:$AW$58))
/
SUMPRODUCT((Original!$C$3:$C$58='by Product &amp; AIM Area'!D$1)*(Original!$J$2:$AW$2='by Product &amp; AIM Area'!$B31))</f>
        <v>0</v>
      </c>
      <c r="E31" s="11">
        <f>SUMPRODUCT((Original!$C$3:$C$58='by Product &amp; AIM Area'!E$1)*(Original!$O$2:$AW$2='by Product &amp; AIM Area'!$B31)*(Original!$O$3:$AW$58))
/
SUMPRODUCT((Original!$C$3:$C$58='by Product &amp; AIM Area'!E$1)*(Original!$J$2:$AW$2='by Product &amp; AIM Area'!$B31))</f>
        <v>1</v>
      </c>
      <c r="F31" s="11" t="e">
        <f>SUMPRODUCT((Original!$C$3:$C$58='by Product &amp; AIM Area'!F$1)*(Original!$O$2:$AW$2='by Product &amp; AIM Area'!$B31)*(Original!$O$3:$AW$58))
/
SUMPRODUCT((Original!$C$3:$C$58='by Product &amp; AIM Area'!F$1)*(Original!$J$2:$AW$2='by Product &amp; AIM Area'!$B31))</f>
        <v>#DIV/0!</v>
      </c>
      <c r="G31" s="11" t="e">
        <f>SUMPRODUCT((Original!$C$3:$C$58='by Product &amp; AIM Area'!G$1)*(Original!$O$2:$AW$2='by Product &amp; AIM Area'!$B31)*(Original!$O$3:$AW$58))
/
SUMPRODUCT((Original!$C$3:$C$58='by Product &amp; AIM Area'!G$1)*(Original!$J$2:$AW$2='by Product &amp; AIM Area'!$B31))</f>
        <v>#DIV/0!</v>
      </c>
      <c r="H31" s="11" t="e">
        <f>SUMPRODUCT((Original!$C$3:$C$58='by Product &amp; AIM Area'!H$1)*(Original!$O$2:$AW$2='by Product &amp; AIM Area'!$B31)*(Original!$O$3:$AW$58))
/
SUMPRODUCT((Original!$C$3:$C$58='by Product &amp; AIM Area'!H$1)*(Original!$J$2:$AW$2='by Product &amp; AIM Area'!$B31))</f>
        <v>#DIV/0!</v>
      </c>
      <c r="I31" s="11">
        <f>SUMPRODUCT((Original!$C$3:$C$58='by Product &amp; AIM Area'!I$1)*(Original!$O$2:$AW$2='by Product &amp; AIM Area'!$B31)*(Original!$O$3:$AW$58))
/
SUMPRODUCT((Original!$C$3:$C$58='by Product &amp; AIM Area'!I$1)*(Original!$J$2:$AW$2='by Product &amp; AIM Area'!$B31))</f>
        <v>0</v>
      </c>
      <c r="J31" s="11">
        <f>SUMPRODUCT((Original!$C$3:$C$58='by Product &amp; AIM Area'!J$1)*(Original!$O$2:$AW$2='by Product &amp; AIM Area'!$B31)*(Original!$O$3:$AW$58))
/
SUMPRODUCT((Original!$C$3:$C$58='by Product &amp; AIM Area'!J$1)*(Original!$J$2:$AW$2='by Product &amp; AIM Area'!$B31))</f>
        <v>0</v>
      </c>
      <c r="K31" s="11" t="e">
        <f>SUMPRODUCT((Original!$C$3:$C$58='by Product &amp; AIM Area'!K$1)*(Original!$O$2:$AW$2='by Product &amp; AIM Area'!$B31)*(Original!$O$3:$AW$58))
/
SUMPRODUCT((Original!$C$3:$C$58='by Product &amp; AIM Area'!K$1)*(Original!$J$2:$AW$2='by Product &amp; AIM Area'!$B31))</f>
        <v>#DIV/0!</v>
      </c>
      <c r="L31" s="11" t="e">
        <f>SUMPRODUCT((Original!$C$3:$C$58='by Product &amp; AIM Area'!L$1)*(Original!$O$2:$AW$2='by Product &amp; AIM Area'!$B31)*(Original!$O$3:$AW$58))
/
SUMPRODUCT((Original!$C$3:$C$58='by Product &amp; AIM Area'!L$1)*(Original!$J$2:$AW$2='by Product &amp; AIM Area'!$B31))</f>
        <v>#DIV/0!</v>
      </c>
      <c r="M31" s="11">
        <f>SUMPRODUCT((Original!$C$3:$C$58='by Product &amp; AIM Area'!M$1)*(Original!$O$2:$AW$2='by Product &amp; AIM Area'!$B31)*(Original!$O$3:$AW$58))
/
SUMPRODUCT((Original!$C$3:$C$58='by Product &amp; AIM Area'!M$1)*(Original!$J$2:$AW$2='by Product &amp; AIM Area'!$B31))</f>
        <v>1</v>
      </c>
      <c r="N31" s="11" t="e">
        <f>SUMPRODUCT((Original!$C$3:$C$58='by Product &amp; AIM Area'!N$1)*(Original!$O$2:$AW$2='by Product &amp; AIM Area'!$B31)*(Original!$O$3:$AW$58))
/
SUMPRODUCT((Original!$C$3:$C$58='by Product &amp; AIM Area'!N$1)*(Original!$J$2:$AW$2='by Product &amp; AIM Area'!$B31))</f>
        <v>#DIV/0!</v>
      </c>
      <c r="O31" s="11">
        <f>SUMPRODUCT((Original!$C$3:$C$58='by Product &amp; AIM Area'!O$1)*(Original!$O$2:$AW$2='by Product &amp; AIM Area'!$B31)*(Original!$O$3:$AW$58))
/
SUMPRODUCT((Original!$C$3:$C$58='by Product &amp; AIM Area'!O$1)*(Original!$J$2:$AW$2='by Product &amp; AIM Area'!$B31))</f>
        <v>0</v>
      </c>
      <c r="P31" s="11" t="e">
        <f>SUMPRODUCT((Original!$C$3:$C$58='by Product &amp; AIM Area'!P$1)*(Original!$O$2:$AW$2='by Product &amp; AIM Area'!$B31)*(Original!$O$3:$AW$58))
/
SUMPRODUCT((Original!$C$3:$C$58='by Product &amp; AIM Area'!P$1)*(Original!$J$2:$AW$2='by Product &amp; AIM Area'!$B31))</f>
        <v>#DIV/0!</v>
      </c>
      <c r="Q31" s="11">
        <f>SUMPRODUCT((Original!$C$3:$C$58='by Product &amp; AIM Area'!Q$1)*(Original!$O$2:$AW$2='by Product &amp; AIM Area'!$B31)*(Original!$O$3:$AW$58))
/
SUMPRODUCT((Original!$C$3:$C$58='by Product &amp; AIM Area'!Q$1)*(Original!$J$2:$AW$2='by Product &amp; AIM Area'!$B31))</f>
        <v>1</v>
      </c>
      <c r="R31" s="11">
        <f>SUMPRODUCT((Original!$C$3:$C$58='by Product &amp; AIM Area'!R$1)*(Original!$O$2:$AW$2='by Product &amp; AIM Area'!$B31)*(Original!$O$3:$AW$58))
/
SUMPRODUCT((Original!$C$3:$C$58='by Product &amp; AIM Area'!R$1)*(Original!$J$2:$AW$2='by Product &amp; AIM Area'!$B31))</f>
        <v>0.75</v>
      </c>
      <c r="S31" s="11">
        <f>SUMPRODUCT((Original!$C$3:$C$58='by Product &amp; AIM Area'!S$1)*(Original!$O$2:$AW$2='by Product &amp; AIM Area'!$B31)*(Original!$O$3:$AW$58))
/
SUMPRODUCT((Original!$C$3:$C$58='by Product &amp; AIM Area'!S$1)*(Original!$J$2:$AW$2='by Product &amp; AIM Area'!$B31))</f>
        <v>0.125</v>
      </c>
      <c r="T31" s="11">
        <f>SUMPRODUCT((Original!$C$3:$C$58='by Product &amp; AIM Area'!T$1)*(Original!$O$2:$AW$2='by Product &amp; AIM Area'!$B31)*(Original!$O$3:$AW$58))
/
SUMPRODUCT((Original!$C$3:$C$58='by Product &amp; AIM Area'!T$1)*(Original!$J$2:$AW$2='by Product &amp; AIM Area'!$B31))</f>
        <v>0.875</v>
      </c>
      <c r="U31" s="11" t="e">
        <f>SUMPRODUCT((Original!$C$3:$C$58='by Product &amp; AIM Area'!U$1)*(Original!$O$2:$AW$2='by Product &amp; AIM Area'!$B31)*(Original!$O$3:$AW$58))
/
SUMPRODUCT((Original!$C$3:$C$58='by Product &amp; AIM Area'!U$1)*(Original!$J$2:$AW$2='by Product &amp; AIM Area'!$B31))</f>
        <v>#DIV/0!</v>
      </c>
      <c r="V31" s="11">
        <f>SUMPRODUCT((Original!$C$3:$C$58='by Product &amp; AIM Area'!V$1)*(Original!$O$2:$AW$2='by Product &amp; AIM Area'!$B31)*(Original!$O$3:$AW$58))
/
SUMPRODUCT((Original!$C$3:$C$58='by Product &amp; AIM Area'!V$1)*(Original!$J$2:$AW$2='by Product &amp; AIM Area'!$B31))</f>
        <v>0</v>
      </c>
      <c r="W31" s="11">
        <f>SUMPRODUCT((Original!$C$3:$C$58='by Product &amp; AIM Area'!W$1)*(Original!$O$2:$AW$2='by Product &amp; AIM Area'!$B31)*(Original!$O$3:$AW$58))
/
SUMPRODUCT((Original!$C$3:$C$58='by Product &amp; AIM Area'!W$1)*(Original!$J$2:$AW$2='by Product &amp; AIM Area'!$B31))</f>
        <v>0</v>
      </c>
      <c r="X31" s="11" t="e">
        <f>SUMPRODUCT((Original!$C$3:$C$58='by Product &amp; AIM Area'!X$1)*(Original!$O$2:$AW$2='by Product &amp; AIM Area'!$B31)*(Original!$O$3:$AW$58))
/
SUMPRODUCT((Original!$C$3:$C$58='by Product &amp; AIM Area'!X$1)*(Original!$J$2:$AW$2='by Product &amp; AIM Area'!$B31))</f>
        <v>#DIV/0!</v>
      </c>
      <c r="Y31" s="11" t="e">
        <f>SUMPRODUCT((Original!$C$3:$C$58='by Product &amp; AIM Area'!Y$1)*(Original!$O$2:$AW$2='by Product &amp; AIM Area'!$B31)*(Original!$O$3:$AW$58))
/
SUMPRODUCT((Original!$C$3:$C$58='by Product &amp; AIM Area'!Y$1)*(Original!$J$2:$AW$2='by Product &amp; AIM Area'!$B31))</f>
        <v>#DIV/0!</v>
      </c>
      <c r="Z31" s="11">
        <f>SUMPRODUCT((Original!$C$3:$C$58='by Product &amp; AIM Area'!Z$1)*(Original!$O$2:$AW$2='by Product &amp; AIM Area'!$B31)*(Original!$O$3:$AW$58))
/
SUMPRODUCT((Original!$C$3:$C$58='by Product &amp; AIM Area'!Z$1)*(Original!$J$2:$AW$2='by Product &amp; AIM Area'!$B31))</f>
        <v>0</v>
      </c>
      <c r="AA31" s="11">
        <f>SUMPRODUCT((Original!$C$3:$C$58='by Product &amp; AIM Area'!AA$1)*(Original!$O$2:$AW$2='by Product &amp; AIM Area'!$B31)*(Original!$O$3:$AW$58))
/
SUMPRODUCT((Original!$C$3:$C$58='by Product &amp; AIM Area'!AA$1)*(Original!$J$2:$AW$2='by Product &amp; AIM Area'!$B31))</f>
        <v>2</v>
      </c>
      <c r="AB31" s="11">
        <f>SUMPRODUCT((Original!$C$3:$C$58='by Product &amp; AIM Area'!AB$1)*(Original!$O$2:$AW$2='by Product &amp; AIM Area'!$B31)*(Original!$O$3:$AW$58))
/
SUMPRODUCT((Original!$C$3:$C$58='by Product &amp; AIM Area'!AB$1)*(Original!$J$2:$AW$2='by Product &amp; AIM Area'!$B31))</f>
        <v>0</v>
      </c>
      <c r="AC31" s="11">
        <f>SUMPRODUCT((Original!$C$3:$C$58='by Product &amp; AIM Area'!AC$1)*(Original!$O$2:$AW$2='by Product &amp; AIM Area'!$B31)*(Original!$O$3:$AW$58))
/
SUMPRODUCT((Original!$C$3:$C$58='by Product &amp; AIM Area'!AC$1)*(Original!$J$2:$AW$2='by Product &amp; AIM Area'!$B31))</f>
        <v>0</v>
      </c>
      <c r="AD31" s="11" t="e">
        <f t="shared" si="0"/>
        <v>#DIV/0!</v>
      </c>
    </row>
    <row r="32" spans="1:30" ht="30">
      <c r="A32" s="11" t="s">
        <v>5</v>
      </c>
      <c r="B32" s="11" t="s">
        <v>53</v>
      </c>
      <c r="C32" s="11">
        <f>SUMPRODUCT((Original!$C$3:$C$58='by Product &amp; AIM Area'!C$1)*(Original!$O$2:$AW$2='by Product &amp; AIM Area'!$B32)*(Original!$O$3:$AW$58))
/
SUMPRODUCT((Original!$C$3:$C$58='by Product &amp; AIM Area'!C$1)*(Original!$J$2:$AW$2='by Product &amp; AIM Area'!$B32))</f>
        <v>1</v>
      </c>
      <c r="D32" s="11">
        <f>SUMPRODUCT((Original!$C$3:$C$58='by Product &amp; AIM Area'!D$1)*(Original!$O$2:$AW$2='by Product &amp; AIM Area'!$B32)*(Original!$O$3:$AW$58))
/
SUMPRODUCT((Original!$C$3:$C$58='by Product &amp; AIM Area'!D$1)*(Original!$J$2:$AW$2='by Product &amp; AIM Area'!$B32))</f>
        <v>0</v>
      </c>
      <c r="E32" s="11">
        <f>SUMPRODUCT((Original!$C$3:$C$58='by Product &amp; AIM Area'!E$1)*(Original!$O$2:$AW$2='by Product &amp; AIM Area'!$B32)*(Original!$O$3:$AW$58))
/
SUMPRODUCT((Original!$C$3:$C$58='by Product &amp; AIM Area'!E$1)*(Original!$J$2:$AW$2='by Product &amp; AIM Area'!$B32))</f>
        <v>2</v>
      </c>
      <c r="F32" s="11" t="e">
        <f>SUMPRODUCT((Original!$C$3:$C$58='by Product &amp; AIM Area'!F$1)*(Original!$O$2:$AW$2='by Product &amp; AIM Area'!$B32)*(Original!$O$3:$AW$58))
/
SUMPRODUCT((Original!$C$3:$C$58='by Product &amp; AIM Area'!F$1)*(Original!$J$2:$AW$2='by Product &amp; AIM Area'!$B32))</f>
        <v>#DIV/0!</v>
      </c>
      <c r="G32" s="11" t="e">
        <f>SUMPRODUCT((Original!$C$3:$C$58='by Product &amp; AIM Area'!G$1)*(Original!$O$2:$AW$2='by Product &amp; AIM Area'!$B32)*(Original!$O$3:$AW$58))
/
SUMPRODUCT((Original!$C$3:$C$58='by Product &amp; AIM Area'!G$1)*(Original!$J$2:$AW$2='by Product &amp; AIM Area'!$B32))</f>
        <v>#DIV/0!</v>
      </c>
      <c r="H32" s="11" t="e">
        <f>SUMPRODUCT((Original!$C$3:$C$58='by Product &amp; AIM Area'!H$1)*(Original!$O$2:$AW$2='by Product &amp; AIM Area'!$B32)*(Original!$O$3:$AW$58))
/
SUMPRODUCT((Original!$C$3:$C$58='by Product &amp; AIM Area'!H$1)*(Original!$J$2:$AW$2='by Product &amp; AIM Area'!$B32))</f>
        <v>#DIV/0!</v>
      </c>
      <c r="I32" s="11">
        <f>SUMPRODUCT((Original!$C$3:$C$58='by Product &amp; AIM Area'!I$1)*(Original!$O$2:$AW$2='by Product &amp; AIM Area'!$B32)*(Original!$O$3:$AW$58))
/
SUMPRODUCT((Original!$C$3:$C$58='by Product &amp; AIM Area'!I$1)*(Original!$J$2:$AW$2='by Product &amp; AIM Area'!$B32))</f>
        <v>0</v>
      </c>
      <c r="J32" s="11">
        <f>SUMPRODUCT((Original!$C$3:$C$58='by Product &amp; AIM Area'!J$1)*(Original!$O$2:$AW$2='by Product &amp; AIM Area'!$B32)*(Original!$O$3:$AW$58))
/
SUMPRODUCT((Original!$C$3:$C$58='by Product &amp; AIM Area'!J$1)*(Original!$J$2:$AW$2='by Product &amp; AIM Area'!$B32))</f>
        <v>0</v>
      </c>
      <c r="K32" s="11" t="e">
        <f>SUMPRODUCT((Original!$C$3:$C$58='by Product &amp; AIM Area'!K$1)*(Original!$O$2:$AW$2='by Product &amp; AIM Area'!$B32)*(Original!$O$3:$AW$58))
/
SUMPRODUCT((Original!$C$3:$C$58='by Product &amp; AIM Area'!K$1)*(Original!$J$2:$AW$2='by Product &amp; AIM Area'!$B32))</f>
        <v>#DIV/0!</v>
      </c>
      <c r="L32" s="11" t="e">
        <f>SUMPRODUCT((Original!$C$3:$C$58='by Product &amp; AIM Area'!L$1)*(Original!$O$2:$AW$2='by Product &amp; AIM Area'!$B32)*(Original!$O$3:$AW$58))
/
SUMPRODUCT((Original!$C$3:$C$58='by Product &amp; AIM Area'!L$1)*(Original!$J$2:$AW$2='by Product &amp; AIM Area'!$B32))</f>
        <v>#DIV/0!</v>
      </c>
      <c r="M32" s="11">
        <f>SUMPRODUCT((Original!$C$3:$C$58='by Product &amp; AIM Area'!M$1)*(Original!$O$2:$AW$2='by Product &amp; AIM Area'!$B32)*(Original!$O$3:$AW$58))
/
SUMPRODUCT((Original!$C$3:$C$58='by Product &amp; AIM Area'!M$1)*(Original!$J$2:$AW$2='by Product &amp; AIM Area'!$B32))</f>
        <v>2</v>
      </c>
      <c r="N32" s="11" t="e">
        <f>SUMPRODUCT((Original!$C$3:$C$58='by Product &amp; AIM Area'!N$1)*(Original!$O$2:$AW$2='by Product &amp; AIM Area'!$B32)*(Original!$O$3:$AW$58))
/
SUMPRODUCT((Original!$C$3:$C$58='by Product &amp; AIM Area'!N$1)*(Original!$J$2:$AW$2='by Product &amp; AIM Area'!$B32))</f>
        <v>#DIV/0!</v>
      </c>
      <c r="O32" s="11">
        <f>SUMPRODUCT((Original!$C$3:$C$58='by Product &amp; AIM Area'!O$1)*(Original!$O$2:$AW$2='by Product &amp; AIM Area'!$B32)*(Original!$O$3:$AW$58))
/
SUMPRODUCT((Original!$C$3:$C$58='by Product &amp; AIM Area'!O$1)*(Original!$J$2:$AW$2='by Product &amp; AIM Area'!$B32))</f>
        <v>1</v>
      </c>
      <c r="P32" s="11" t="e">
        <f>SUMPRODUCT((Original!$C$3:$C$58='by Product &amp; AIM Area'!P$1)*(Original!$O$2:$AW$2='by Product &amp; AIM Area'!$B32)*(Original!$O$3:$AW$58))
/
SUMPRODUCT((Original!$C$3:$C$58='by Product &amp; AIM Area'!P$1)*(Original!$J$2:$AW$2='by Product &amp; AIM Area'!$B32))</f>
        <v>#DIV/0!</v>
      </c>
      <c r="Q32" s="11">
        <f>SUMPRODUCT((Original!$C$3:$C$58='by Product &amp; AIM Area'!Q$1)*(Original!$O$2:$AW$2='by Product &amp; AIM Area'!$B32)*(Original!$O$3:$AW$58))
/
SUMPRODUCT((Original!$C$3:$C$58='by Product &amp; AIM Area'!Q$1)*(Original!$J$2:$AW$2='by Product &amp; AIM Area'!$B32))</f>
        <v>1</v>
      </c>
      <c r="R32" s="11">
        <f>SUMPRODUCT((Original!$C$3:$C$58='by Product &amp; AIM Area'!R$1)*(Original!$O$2:$AW$2='by Product &amp; AIM Area'!$B32)*(Original!$O$3:$AW$58))
/
SUMPRODUCT((Original!$C$3:$C$58='by Product &amp; AIM Area'!R$1)*(Original!$J$2:$AW$2='by Product &amp; AIM Area'!$B32))</f>
        <v>1.5</v>
      </c>
      <c r="S32" s="11">
        <f>SUMPRODUCT((Original!$C$3:$C$58='by Product &amp; AIM Area'!S$1)*(Original!$O$2:$AW$2='by Product &amp; AIM Area'!$B32)*(Original!$O$3:$AW$58))
/
SUMPRODUCT((Original!$C$3:$C$58='by Product &amp; AIM Area'!S$1)*(Original!$J$2:$AW$2='by Product &amp; AIM Area'!$B32))</f>
        <v>1.125</v>
      </c>
      <c r="T32" s="11">
        <f>SUMPRODUCT((Original!$C$3:$C$58='by Product &amp; AIM Area'!T$1)*(Original!$O$2:$AW$2='by Product &amp; AIM Area'!$B32)*(Original!$O$3:$AW$58))
/
SUMPRODUCT((Original!$C$3:$C$58='by Product &amp; AIM Area'!T$1)*(Original!$J$2:$AW$2='by Product &amp; AIM Area'!$B32))</f>
        <v>0.875</v>
      </c>
      <c r="U32" s="11" t="e">
        <f>SUMPRODUCT((Original!$C$3:$C$58='by Product &amp; AIM Area'!U$1)*(Original!$O$2:$AW$2='by Product &amp; AIM Area'!$B32)*(Original!$O$3:$AW$58))
/
SUMPRODUCT((Original!$C$3:$C$58='by Product &amp; AIM Area'!U$1)*(Original!$J$2:$AW$2='by Product &amp; AIM Area'!$B32))</f>
        <v>#DIV/0!</v>
      </c>
      <c r="V32" s="11">
        <f>SUMPRODUCT((Original!$C$3:$C$58='by Product &amp; AIM Area'!V$1)*(Original!$O$2:$AW$2='by Product &amp; AIM Area'!$B32)*(Original!$O$3:$AW$58))
/
SUMPRODUCT((Original!$C$3:$C$58='by Product &amp; AIM Area'!V$1)*(Original!$J$2:$AW$2='by Product &amp; AIM Area'!$B32))</f>
        <v>1</v>
      </c>
      <c r="W32" s="11">
        <f>SUMPRODUCT((Original!$C$3:$C$58='by Product &amp; AIM Area'!W$1)*(Original!$O$2:$AW$2='by Product &amp; AIM Area'!$B32)*(Original!$O$3:$AW$58))
/
SUMPRODUCT((Original!$C$3:$C$58='by Product &amp; AIM Area'!W$1)*(Original!$J$2:$AW$2='by Product &amp; AIM Area'!$B32))</f>
        <v>1</v>
      </c>
      <c r="X32" s="11" t="e">
        <f>SUMPRODUCT((Original!$C$3:$C$58='by Product &amp; AIM Area'!X$1)*(Original!$O$2:$AW$2='by Product &amp; AIM Area'!$B32)*(Original!$O$3:$AW$58))
/
SUMPRODUCT((Original!$C$3:$C$58='by Product &amp; AIM Area'!X$1)*(Original!$J$2:$AW$2='by Product &amp; AIM Area'!$B32))</f>
        <v>#DIV/0!</v>
      </c>
      <c r="Y32" s="11" t="e">
        <f>SUMPRODUCT((Original!$C$3:$C$58='by Product &amp; AIM Area'!Y$1)*(Original!$O$2:$AW$2='by Product &amp; AIM Area'!$B32)*(Original!$O$3:$AW$58))
/
SUMPRODUCT((Original!$C$3:$C$58='by Product &amp; AIM Area'!Y$1)*(Original!$J$2:$AW$2='by Product &amp; AIM Area'!$B32))</f>
        <v>#DIV/0!</v>
      </c>
      <c r="Z32" s="11">
        <f>SUMPRODUCT((Original!$C$3:$C$58='by Product &amp; AIM Area'!Z$1)*(Original!$O$2:$AW$2='by Product &amp; AIM Area'!$B32)*(Original!$O$3:$AW$58))
/
SUMPRODUCT((Original!$C$3:$C$58='by Product &amp; AIM Area'!Z$1)*(Original!$J$2:$AW$2='by Product &amp; AIM Area'!$B32))</f>
        <v>1</v>
      </c>
      <c r="AA32" s="11">
        <f>SUMPRODUCT((Original!$C$3:$C$58='by Product &amp; AIM Area'!AA$1)*(Original!$O$2:$AW$2='by Product &amp; AIM Area'!$B32)*(Original!$O$3:$AW$58))
/
SUMPRODUCT((Original!$C$3:$C$58='by Product &amp; AIM Area'!AA$1)*(Original!$J$2:$AW$2='by Product &amp; AIM Area'!$B32))</f>
        <v>2</v>
      </c>
      <c r="AB32" s="11">
        <f>SUMPRODUCT((Original!$C$3:$C$58='by Product &amp; AIM Area'!AB$1)*(Original!$O$2:$AW$2='by Product &amp; AIM Area'!$B32)*(Original!$O$3:$AW$58))
/
SUMPRODUCT((Original!$C$3:$C$58='by Product &amp; AIM Area'!AB$1)*(Original!$J$2:$AW$2='by Product &amp; AIM Area'!$B32))</f>
        <v>1</v>
      </c>
      <c r="AC32" s="11">
        <f>SUMPRODUCT((Original!$C$3:$C$58='by Product &amp; AIM Area'!AC$1)*(Original!$O$2:$AW$2='by Product &amp; AIM Area'!$B32)*(Original!$O$3:$AW$58))
/
SUMPRODUCT((Original!$C$3:$C$58='by Product &amp; AIM Area'!AC$1)*(Original!$J$2:$AW$2='by Product &amp; AIM Area'!$B32))</f>
        <v>2.8</v>
      </c>
      <c r="AD32" s="11" t="e">
        <f t="shared" si="0"/>
        <v>#DIV/0!</v>
      </c>
    </row>
    <row r="33" spans="1:30" ht="30">
      <c r="A33" s="11" t="s">
        <v>5</v>
      </c>
      <c r="B33" s="11" t="s">
        <v>54</v>
      </c>
      <c r="C33" s="11">
        <f>SUMPRODUCT((Original!$C$3:$C$58='by Product &amp; AIM Area'!C$1)*(Original!$O$2:$AW$2='by Product &amp; AIM Area'!$B33)*(Original!$O$3:$AW$58))
/
SUMPRODUCT((Original!$C$3:$C$58='by Product &amp; AIM Area'!C$1)*(Original!$J$2:$AW$2='by Product &amp; AIM Area'!$B33))</f>
        <v>1</v>
      </c>
      <c r="D33" s="11">
        <f>SUMPRODUCT((Original!$C$3:$C$58='by Product &amp; AIM Area'!D$1)*(Original!$O$2:$AW$2='by Product &amp; AIM Area'!$B33)*(Original!$O$3:$AW$58))
/
SUMPRODUCT((Original!$C$3:$C$58='by Product &amp; AIM Area'!D$1)*(Original!$J$2:$AW$2='by Product &amp; AIM Area'!$B33))</f>
        <v>0</v>
      </c>
      <c r="E33" s="11">
        <f>SUMPRODUCT((Original!$C$3:$C$58='by Product &amp; AIM Area'!E$1)*(Original!$O$2:$AW$2='by Product &amp; AIM Area'!$B33)*(Original!$O$3:$AW$58))
/
SUMPRODUCT((Original!$C$3:$C$58='by Product &amp; AIM Area'!E$1)*(Original!$J$2:$AW$2='by Product &amp; AIM Area'!$B33))</f>
        <v>1.5</v>
      </c>
      <c r="F33" s="11" t="e">
        <f>SUMPRODUCT((Original!$C$3:$C$58='by Product &amp; AIM Area'!F$1)*(Original!$O$2:$AW$2='by Product &amp; AIM Area'!$B33)*(Original!$O$3:$AW$58))
/
SUMPRODUCT((Original!$C$3:$C$58='by Product &amp; AIM Area'!F$1)*(Original!$J$2:$AW$2='by Product &amp; AIM Area'!$B33))</f>
        <v>#DIV/0!</v>
      </c>
      <c r="G33" s="11" t="e">
        <f>SUMPRODUCT((Original!$C$3:$C$58='by Product &amp; AIM Area'!G$1)*(Original!$O$2:$AW$2='by Product &amp; AIM Area'!$B33)*(Original!$O$3:$AW$58))
/
SUMPRODUCT((Original!$C$3:$C$58='by Product &amp; AIM Area'!G$1)*(Original!$J$2:$AW$2='by Product &amp; AIM Area'!$B33))</f>
        <v>#DIV/0!</v>
      </c>
      <c r="H33" s="11" t="e">
        <f>SUMPRODUCT((Original!$C$3:$C$58='by Product &amp; AIM Area'!H$1)*(Original!$O$2:$AW$2='by Product &amp; AIM Area'!$B33)*(Original!$O$3:$AW$58))
/
SUMPRODUCT((Original!$C$3:$C$58='by Product &amp; AIM Area'!H$1)*(Original!$J$2:$AW$2='by Product &amp; AIM Area'!$B33))</f>
        <v>#DIV/0!</v>
      </c>
      <c r="I33" s="11">
        <f>SUMPRODUCT((Original!$C$3:$C$58='by Product &amp; AIM Area'!I$1)*(Original!$O$2:$AW$2='by Product &amp; AIM Area'!$B33)*(Original!$O$3:$AW$58))
/
SUMPRODUCT((Original!$C$3:$C$58='by Product &amp; AIM Area'!I$1)*(Original!$J$2:$AW$2='by Product &amp; AIM Area'!$B33))</f>
        <v>0</v>
      </c>
      <c r="J33" s="11">
        <f>SUMPRODUCT((Original!$C$3:$C$58='by Product &amp; AIM Area'!J$1)*(Original!$O$2:$AW$2='by Product &amp; AIM Area'!$B33)*(Original!$O$3:$AW$58))
/
SUMPRODUCT((Original!$C$3:$C$58='by Product &amp; AIM Area'!J$1)*(Original!$J$2:$AW$2='by Product &amp; AIM Area'!$B33))</f>
        <v>0</v>
      </c>
      <c r="K33" s="11" t="e">
        <f>SUMPRODUCT((Original!$C$3:$C$58='by Product &amp; AIM Area'!K$1)*(Original!$O$2:$AW$2='by Product &amp; AIM Area'!$B33)*(Original!$O$3:$AW$58))
/
SUMPRODUCT((Original!$C$3:$C$58='by Product &amp; AIM Area'!K$1)*(Original!$J$2:$AW$2='by Product &amp; AIM Area'!$B33))</f>
        <v>#DIV/0!</v>
      </c>
      <c r="L33" s="11" t="e">
        <f>SUMPRODUCT((Original!$C$3:$C$58='by Product &amp; AIM Area'!L$1)*(Original!$O$2:$AW$2='by Product &amp; AIM Area'!$B33)*(Original!$O$3:$AW$58))
/
SUMPRODUCT((Original!$C$3:$C$58='by Product &amp; AIM Area'!L$1)*(Original!$J$2:$AW$2='by Product &amp; AIM Area'!$B33))</f>
        <v>#DIV/0!</v>
      </c>
      <c r="M33" s="11">
        <f>SUMPRODUCT((Original!$C$3:$C$58='by Product &amp; AIM Area'!M$1)*(Original!$O$2:$AW$2='by Product &amp; AIM Area'!$B33)*(Original!$O$3:$AW$58))
/
SUMPRODUCT((Original!$C$3:$C$58='by Product &amp; AIM Area'!M$1)*(Original!$J$2:$AW$2='by Product &amp; AIM Area'!$B33))</f>
        <v>1</v>
      </c>
      <c r="N33" s="11" t="e">
        <f>SUMPRODUCT((Original!$C$3:$C$58='by Product &amp; AIM Area'!N$1)*(Original!$O$2:$AW$2='by Product &amp; AIM Area'!$B33)*(Original!$O$3:$AW$58))
/
SUMPRODUCT((Original!$C$3:$C$58='by Product &amp; AIM Area'!N$1)*(Original!$J$2:$AW$2='by Product &amp; AIM Area'!$B33))</f>
        <v>#DIV/0!</v>
      </c>
      <c r="O33" s="11">
        <f>SUMPRODUCT((Original!$C$3:$C$58='by Product &amp; AIM Area'!O$1)*(Original!$O$2:$AW$2='by Product &amp; AIM Area'!$B33)*(Original!$O$3:$AW$58))
/
SUMPRODUCT((Original!$C$3:$C$58='by Product &amp; AIM Area'!O$1)*(Original!$J$2:$AW$2='by Product &amp; AIM Area'!$B33))</f>
        <v>0</v>
      </c>
      <c r="P33" s="11" t="e">
        <f>SUMPRODUCT((Original!$C$3:$C$58='by Product &amp; AIM Area'!P$1)*(Original!$O$2:$AW$2='by Product &amp; AIM Area'!$B33)*(Original!$O$3:$AW$58))
/
SUMPRODUCT((Original!$C$3:$C$58='by Product &amp; AIM Area'!P$1)*(Original!$J$2:$AW$2='by Product &amp; AIM Area'!$B33))</f>
        <v>#DIV/0!</v>
      </c>
      <c r="Q33" s="11">
        <f>SUMPRODUCT((Original!$C$3:$C$58='by Product &amp; AIM Area'!Q$1)*(Original!$O$2:$AW$2='by Product &amp; AIM Area'!$B33)*(Original!$O$3:$AW$58))
/
SUMPRODUCT((Original!$C$3:$C$58='by Product &amp; AIM Area'!Q$1)*(Original!$J$2:$AW$2='by Product &amp; AIM Area'!$B33))</f>
        <v>0</v>
      </c>
      <c r="R33" s="11">
        <f>SUMPRODUCT((Original!$C$3:$C$58='by Product &amp; AIM Area'!R$1)*(Original!$O$2:$AW$2='by Product &amp; AIM Area'!$B33)*(Original!$O$3:$AW$58))
/
SUMPRODUCT((Original!$C$3:$C$58='by Product &amp; AIM Area'!R$1)*(Original!$J$2:$AW$2='by Product &amp; AIM Area'!$B33))</f>
        <v>1</v>
      </c>
      <c r="S33" s="11">
        <f>SUMPRODUCT((Original!$C$3:$C$58='by Product &amp; AIM Area'!S$1)*(Original!$O$2:$AW$2='by Product &amp; AIM Area'!$B33)*(Original!$O$3:$AW$58))
/
SUMPRODUCT((Original!$C$3:$C$58='by Product &amp; AIM Area'!S$1)*(Original!$J$2:$AW$2='by Product &amp; AIM Area'!$B33))</f>
        <v>0.625</v>
      </c>
      <c r="T33" s="11">
        <f>SUMPRODUCT((Original!$C$3:$C$58='by Product &amp; AIM Area'!T$1)*(Original!$O$2:$AW$2='by Product &amp; AIM Area'!$B33)*(Original!$O$3:$AW$58))
/
SUMPRODUCT((Original!$C$3:$C$58='by Product &amp; AIM Area'!T$1)*(Original!$J$2:$AW$2='by Product &amp; AIM Area'!$B33))</f>
        <v>1</v>
      </c>
      <c r="U33" s="11" t="e">
        <f>SUMPRODUCT((Original!$C$3:$C$58='by Product &amp; AIM Area'!U$1)*(Original!$O$2:$AW$2='by Product &amp; AIM Area'!$B33)*(Original!$O$3:$AW$58))
/
SUMPRODUCT((Original!$C$3:$C$58='by Product &amp; AIM Area'!U$1)*(Original!$J$2:$AW$2='by Product &amp; AIM Area'!$B33))</f>
        <v>#DIV/0!</v>
      </c>
      <c r="V33" s="11">
        <f>SUMPRODUCT((Original!$C$3:$C$58='by Product &amp; AIM Area'!V$1)*(Original!$O$2:$AW$2='by Product &amp; AIM Area'!$B33)*(Original!$O$3:$AW$58))
/
SUMPRODUCT((Original!$C$3:$C$58='by Product &amp; AIM Area'!V$1)*(Original!$J$2:$AW$2='by Product &amp; AIM Area'!$B33))</f>
        <v>0</v>
      </c>
      <c r="W33" s="11">
        <f>SUMPRODUCT((Original!$C$3:$C$58='by Product &amp; AIM Area'!W$1)*(Original!$O$2:$AW$2='by Product &amp; AIM Area'!$B33)*(Original!$O$3:$AW$58))
/
SUMPRODUCT((Original!$C$3:$C$58='by Product &amp; AIM Area'!W$1)*(Original!$J$2:$AW$2='by Product &amp; AIM Area'!$B33))</f>
        <v>1</v>
      </c>
      <c r="X33" s="11" t="e">
        <f>SUMPRODUCT((Original!$C$3:$C$58='by Product &amp; AIM Area'!X$1)*(Original!$O$2:$AW$2='by Product &amp; AIM Area'!$B33)*(Original!$O$3:$AW$58))
/
SUMPRODUCT((Original!$C$3:$C$58='by Product &amp; AIM Area'!X$1)*(Original!$J$2:$AW$2='by Product &amp; AIM Area'!$B33))</f>
        <v>#DIV/0!</v>
      </c>
      <c r="Y33" s="11" t="e">
        <f>SUMPRODUCT((Original!$C$3:$C$58='by Product &amp; AIM Area'!Y$1)*(Original!$O$2:$AW$2='by Product &amp; AIM Area'!$B33)*(Original!$O$3:$AW$58))
/
SUMPRODUCT((Original!$C$3:$C$58='by Product &amp; AIM Area'!Y$1)*(Original!$J$2:$AW$2='by Product &amp; AIM Area'!$B33))</f>
        <v>#DIV/0!</v>
      </c>
      <c r="Z33" s="11">
        <f>SUMPRODUCT((Original!$C$3:$C$58='by Product &amp; AIM Area'!Z$1)*(Original!$O$2:$AW$2='by Product &amp; AIM Area'!$B33)*(Original!$O$3:$AW$58))
/
SUMPRODUCT((Original!$C$3:$C$58='by Product &amp; AIM Area'!Z$1)*(Original!$J$2:$AW$2='by Product &amp; AIM Area'!$B33))</f>
        <v>0</v>
      </c>
      <c r="AA33" s="11">
        <f>SUMPRODUCT((Original!$C$3:$C$58='by Product &amp; AIM Area'!AA$1)*(Original!$O$2:$AW$2='by Product &amp; AIM Area'!$B33)*(Original!$O$3:$AW$58))
/
SUMPRODUCT((Original!$C$3:$C$58='by Product &amp; AIM Area'!AA$1)*(Original!$J$2:$AW$2='by Product &amp; AIM Area'!$B33))</f>
        <v>0</v>
      </c>
      <c r="AB33" s="11">
        <f>SUMPRODUCT((Original!$C$3:$C$58='by Product &amp; AIM Area'!AB$1)*(Original!$O$2:$AW$2='by Product &amp; AIM Area'!$B33)*(Original!$O$3:$AW$58))
/
SUMPRODUCT((Original!$C$3:$C$58='by Product &amp; AIM Area'!AB$1)*(Original!$J$2:$AW$2='by Product &amp; AIM Area'!$B33))</f>
        <v>0.5</v>
      </c>
      <c r="AC33" s="11">
        <f>SUMPRODUCT((Original!$C$3:$C$58='by Product &amp; AIM Area'!AC$1)*(Original!$O$2:$AW$2='by Product &amp; AIM Area'!$B33)*(Original!$O$3:$AW$58))
/
SUMPRODUCT((Original!$C$3:$C$58='by Product &amp; AIM Area'!AC$1)*(Original!$J$2:$AW$2='by Product &amp; AIM Area'!$B33))</f>
        <v>0.8</v>
      </c>
      <c r="AD33" s="11" t="e">
        <f t="shared" si="0"/>
        <v>#DIV/0!</v>
      </c>
    </row>
    <row r="34" spans="1:30" ht="30">
      <c r="A34" s="11" t="s">
        <v>5</v>
      </c>
      <c r="B34" s="11" t="s">
        <v>55</v>
      </c>
      <c r="C34" s="11">
        <f>SUMPRODUCT((Original!$C$3:$C$58='by Product &amp; AIM Area'!C$1)*(Original!$O$2:$AW$2='by Product &amp; AIM Area'!$B34)*(Original!$O$3:$AW$58))
/
SUMPRODUCT((Original!$C$3:$C$58='by Product &amp; AIM Area'!C$1)*(Original!$J$2:$AW$2='by Product &amp; AIM Area'!$B34))</f>
        <v>0</v>
      </c>
      <c r="D34" s="11">
        <f>SUMPRODUCT((Original!$C$3:$C$58='by Product &amp; AIM Area'!D$1)*(Original!$O$2:$AW$2='by Product &amp; AIM Area'!$B34)*(Original!$O$3:$AW$58))
/
SUMPRODUCT((Original!$C$3:$C$58='by Product &amp; AIM Area'!D$1)*(Original!$J$2:$AW$2='by Product &amp; AIM Area'!$B34))</f>
        <v>0</v>
      </c>
      <c r="E34" s="11">
        <f>SUMPRODUCT((Original!$C$3:$C$58='by Product &amp; AIM Area'!E$1)*(Original!$O$2:$AW$2='by Product &amp; AIM Area'!$B34)*(Original!$O$3:$AW$58))
/
SUMPRODUCT((Original!$C$3:$C$58='by Product &amp; AIM Area'!E$1)*(Original!$J$2:$AW$2='by Product &amp; AIM Area'!$B34))</f>
        <v>0</v>
      </c>
      <c r="F34" s="11" t="e">
        <f>SUMPRODUCT((Original!$C$3:$C$58='by Product &amp; AIM Area'!F$1)*(Original!$O$2:$AW$2='by Product &amp; AIM Area'!$B34)*(Original!$O$3:$AW$58))
/
SUMPRODUCT((Original!$C$3:$C$58='by Product &amp; AIM Area'!F$1)*(Original!$J$2:$AW$2='by Product &amp; AIM Area'!$B34))</f>
        <v>#DIV/0!</v>
      </c>
      <c r="G34" s="11" t="e">
        <f>SUMPRODUCT((Original!$C$3:$C$58='by Product &amp; AIM Area'!G$1)*(Original!$O$2:$AW$2='by Product &amp; AIM Area'!$B34)*(Original!$O$3:$AW$58))
/
SUMPRODUCT((Original!$C$3:$C$58='by Product &amp; AIM Area'!G$1)*(Original!$J$2:$AW$2='by Product &amp; AIM Area'!$B34))</f>
        <v>#DIV/0!</v>
      </c>
      <c r="H34" s="11" t="e">
        <f>SUMPRODUCT((Original!$C$3:$C$58='by Product &amp; AIM Area'!H$1)*(Original!$O$2:$AW$2='by Product &amp; AIM Area'!$B34)*(Original!$O$3:$AW$58))
/
SUMPRODUCT((Original!$C$3:$C$58='by Product &amp; AIM Area'!H$1)*(Original!$J$2:$AW$2='by Product &amp; AIM Area'!$B34))</f>
        <v>#DIV/0!</v>
      </c>
      <c r="I34" s="11">
        <f>SUMPRODUCT((Original!$C$3:$C$58='by Product &amp; AIM Area'!I$1)*(Original!$O$2:$AW$2='by Product &amp; AIM Area'!$B34)*(Original!$O$3:$AW$58))
/
SUMPRODUCT((Original!$C$3:$C$58='by Product &amp; AIM Area'!I$1)*(Original!$J$2:$AW$2='by Product &amp; AIM Area'!$B34))</f>
        <v>0</v>
      </c>
      <c r="J34" s="11">
        <f>SUMPRODUCT((Original!$C$3:$C$58='by Product &amp; AIM Area'!J$1)*(Original!$O$2:$AW$2='by Product &amp; AIM Area'!$B34)*(Original!$O$3:$AW$58))
/
SUMPRODUCT((Original!$C$3:$C$58='by Product &amp; AIM Area'!J$1)*(Original!$J$2:$AW$2='by Product &amp; AIM Area'!$B34))</f>
        <v>0</v>
      </c>
      <c r="K34" s="11" t="e">
        <f>SUMPRODUCT((Original!$C$3:$C$58='by Product &amp; AIM Area'!K$1)*(Original!$O$2:$AW$2='by Product &amp; AIM Area'!$B34)*(Original!$O$3:$AW$58))
/
SUMPRODUCT((Original!$C$3:$C$58='by Product &amp; AIM Area'!K$1)*(Original!$J$2:$AW$2='by Product &amp; AIM Area'!$B34))</f>
        <v>#DIV/0!</v>
      </c>
      <c r="L34" s="11" t="e">
        <f>SUMPRODUCT((Original!$C$3:$C$58='by Product &amp; AIM Area'!L$1)*(Original!$O$2:$AW$2='by Product &amp; AIM Area'!$B34)*(Original!$O$3:$AW$58))
/
SUMPRODUCT((Original!$C$3:$C$58='by Product &amp; AIM Area'!L$1)*(Original!$J$2:$AW$2='by Product &amp; AIM Area'!$B34))</f>
        <v>#DIV/0!</v>
      </c>
      <c r="M34" s="11">
        <f>SUMPRODUCT((Original!$C$3:$C$58='by Product &amp; AIM Area'!M$1)*(Original!$O$2:$AW$2='by Product &amp; AIM Area'!$B34)*(Original!$O$3:$AW$58))
/
SUMPRODUCT((Original!$C$3:$C$58='by Product &amp; AIM Area'!M$1)*(Original!$J$2:$AW$2='by Product &amp; AIM Area'!$B34))</f>
        <v>0</v>
      </c>
      <c r="N34" s="11" t="e">
        <f>SUMPRODUCT((Original!$C$3:$C$58='by Product &amp; AIM Area'!N$1)*(Original!$O$2:$AW$2='by Product &amp; AIM Area'!$B34)*(Original!$O$3:$AW$58))
/
SUMPRODUCT((Original!$C$3:$C$58='by Product &amp; AIM Area'!N$1)*(Original!$J$2:$AW$2='by Product &amp; AIM Area'!$B34))</f>
        <v>#DIV/0!</v>
      </c>
      <c r="O34" s="11">
        <f>SUMPRODUCT((Original!$C$3:$C$58='by Product &amp; AIM Area'!O$1)*(Original!$O$2:$AW$2='by Product &amp; AIM Area'!$B34)*(Original!$O$3:$AW$58))
/
SUMPRODUCT((Original!$C$3:$C$58='by Product &amp; AIM Area'!O$1)*(Original!$J$2:$AW$2='by Product &amp; AIM Area'!$B34))</f>
        <v>0</v>
      </c>
      <c r="P34" s="11" t="e">
        <f>SUMPRODUCT((Original!$C$3:$C$58='by Product &amp; AIM Area'!P$1)*(Original!$O$2:$AW$2='by Product &amp; AIM Area'!$B34)*(Original!$O$3:$AW$58))
/
SUMPRODUCT((Original!$C$3:$C$58='by Product &amp; AIM Area'!P$1)*(Original!$J$2:$AW$2='by Product &amp; AIM Area'!$B34))</f>
        <v>#DIV/0!</v>
      </c>
      <c r="Q34" s="11">
        <f>SUMPRODUCT((Original!$C$3:$C$58='by Product &amp; AIM Area'!Q$1)*(Original!$O$2:$AW$2='by Product &amp; AIM Area'!$B34)*(Original!$O$3:$AW$58))
/
SUMPRODUCT((Original!$C$3:$C$58='by Product &amp; AIM Area'!Q$1)*(Original!$J$2:$AW$2='by Product &amp; AIM Area'!$B34))</f>
        <v>2</v>
      </c>
      <c r="R34" s="11">
        <f>SUMPRODUCT((Original!$C$3:$C$58='by Product &amp; AIM Area'!R$1)*(Original!$O$2:$AW$2='by Product &amp; AIM Area'!$B34)*(Original!$O$3:$AW$58))
/
SUMPRODUCT((Original!$C$3:$C$58='by Product &amp; AIM Area'!R$1)*(Original!$J$2:$AW$2='by Product &amp; AIM Area'!$B34))</f>
        <v>1.375</v>
      </c>
      <c r="S34" s="11">
        <f>SUMPRODUCT((Original!$C$3:$C$58='by Product &amp; AIM Area'!S$1)*(Original!$O$2:$AW$2='by Product &amp; AIM Area'!$B34)*(Original!$O$3:$AW$58))
/
SUMPRODUCT((Original!$C$3:$C$58='by Product &amp; AIM Area'!S$1)*(Original!$J$2:$AW$2='by Product &amp; AIM Area'!$B34))</f>
        <v>1.375</v>
      </c>
      <c r="T34" s="11">
        <f>SUMPRODUCT((Original!$C$3:$C$58='by Product &amp; AIM Area'!T$1)*(Original!$O$2:$AW$2='by Product &amp; AIM Area'!$B34)*(Original!$O$3:$AW$58))
/
SUMPRODUCT((Original!$C$3:$C$58='by Product &amp; AIM Area'!T$1)*(Original!$J$2:$AW$2='by Product &amp; AIM Area'!$B34))</f>
        <v>0</v>
      </c>
      <c r="U34" s="11" t="e">
        <f>SUMPRODUCT((Original!$C$3:$C$58='by Product &amp; AIM Area'!U$1)*(Original!$O$2:$AW$2='by Product &amp; AIM Area'!$B34)*(Original!$O$3:$AW$58))
/
SUMPRODUCT((Original!$C$3:$C$58='by Product &amp; AIM Area'!U$1)*(Original!$J$2:$AW$2='by Product &amp; AIM Area'!$B34))</f>
        <v>#DIV/0!</v>
      </c>
      <c r="V34" s="11">
        <f>SUMPRODUCT((Original!$C$3:$C$58='by Product &amp; AIM Area'!V$1)*(Original!$O$2:$AW$2='by Product &amp; AIM Area'!$B34)*(Original!$O$3:$AW$58))
/
SUMPRODUCT((Original!$C$3:$C$58='by Product &amp; AIM Area'!V$1)*(Original!$J$2:$AW$2='by Product &amp; AIM Area'!$B34))</f>
        <v>0</v>
      </c>
      <c r="W34" s="11">
        <f>SUMPRODUCT((Original!$C$3:$C$58='by Product &amp; AIM Area'!W$1)*(Original!$O$2:$AW$2='by Product &amp; AIM Area'!$B34)*(Original!$O$3:$AW$58))
/
SUMPRODUCT((Original!$C$3:$C$58='by Product &amp; AIM Area'!W$1)*(Original!$J$2:$AW$2='by Product &amp; AIM Area'!$B34))</f>
        <v>0</v>
      </c>
      <c r="X34" s="11" t="e">
        <f>SUMPRODUCT((Original!$C$3:$C$58='by Product &amp; AIM Area'!X$1)*(Original!$O$2:$AW$2='by Product &amp; AIM Area'!$B34)*(Original!$O$3:$AW$58))
/
SUMPRODUCT((Original!$C$3:$C$58='by Product &amp; AIM Area'!X$1)*(Original!$J$2:$AW$2='by Product &amp; AIM Area'!$B34))</f>
        <v>#DIV/0!</v>
      </c>
      <c r="Y34" s="11" t="e">
        <f>SUMPRODUCT((Original!$C$3:$C$58='by Product &amp; AIM Area'!Y$1)*(Original!$O$2:$AW$2='by Product &amp; AIM Area'!$B34)*(Original!$O$3:$AW$58))
/
SUMPRODUCT((Original!$C$3:$C$58='by Product &amp; AIM Area'!Y$1)*(Original!$J$2:$AW$2='by Product &amp; AIM Area'!$B34))</f>
        <v>#DIV/0!</v>
      </c>
      <c r="Z34" s="11">
        <f>SUMPRODUCT((Original!$C$3:$C$58='by Product &amp; AIM Area'!Z$1)*(Original!$O$2:$AW$2='by Product &amp; AIM Area'!$B34)*(Original!$O$3:$AW$58))
/
SUMPRODUCT((Original!$C$3:$C$58='by Product &amp; AIM Area'!Z$1)*(Original!$J$2:$AW$2='by Product &amp; AIM Area'!$B34))</f>
        <v>0</v>
      </c>
      <c r="AA34" s="11">
        <f>SUMPRODUCT((Original!$C$3:$C$58='by Product &amp; AIM Area'!AA$1)*(Original!$O$2:$AW$2='by Product &amp; AIM Area'!$B34)*(Original!$O$3:$AW$58))
/
SUMPRODUCT((Original!$C$3:$C$58='by Product &amp; AIM Area'!AA$1)*(Original!$J$2:$AW$2='by Product &amp; AIM Area'!$B34))</f>
        <v>2</v>
      </c>
      <c r="AB34" s="11">
        <f>SUMPRODUCT((Original!$C$3:$C$58='by Product &amp; AIM Area'!AB$1)*(Original!$O$2:$AW$2='by Product &amp; AIM Area'!$B34)*(Original!$O$3:$AW$58))
/
SUMPRODUCT((Original!$C$3:$C$58='by Product &amp; AIM Area'!AB$1)*(Original!$J$2:$AW$2='by Product &amp; AIM Area'!$B34))</f>
        <v>0</v>
      </c>
      <c r="AC34" s="11">
        <f>SUMPRODUCT((Original!$C$3:$C$58='by Product &amp; AIM Area'!AC$1)*(Original!$O$2:$AW$2='by Product &amp; AIM Area'!$B34)*(Original!$O$3:$AW$58))
/
SUMPRODUCT((Original!$C$3:$C$58='by Product &amp; AIM Area'!AC$1)*(Original!$J$2:$AW$2='by Product &amp; AIM Area'!$B34))</f>
        <v>0</v>
      </c>
      <c r="AD34" s="11" t="e">
        <f t="shared" si="0"/>
        <v>#DIV/0!</v>
      </c>
    </row>
    <row r="35" spans="1:30" ht="30">
      <c r="A35" s="11" t="s">
        <v>6</v>
      </c>
      <c r="B35" s="11" t="s">
        <v>56</v>
      </c>
      <c r="C35" s="11">
        <f>SUMPRODUCT((Original!$C$3:$C$58='by Product &amp; AIM Area'!C$1)*(Original!$O$2:$AW$2='by Product &amp; AIM Area'!$B35)*(Original!$O$3:$AW$58))
/
SUMPRODUCT((Original!$C$3:$C$58='by Product &amp; AIM Area'!C$1)*(Original!$J$2:$AW$2='by Product &amp; AIM Area'!$B35))</f>
        <v>1</v>
      </c>
      <c r="D35" s="11">
        <f>SUMPRODUCT((Original!$C$3:$C$58='by Product &amp; AIM Area'!D$1)*(Original!$O$2:$AW$2='by Product &amp; AIM Area'!$B35)*(Original!$O$3:$AW$58))
/
SUMPRODUCT((Original!$C$3:$C$58='by Product &amp; AIM Area'!D$1)*(Original!$J$2:$AW$2='by Product &amp; AIM Area'!$B35))</f>
        <v>0</v>
      </c>
      <c r="E35" s="11">
        <f>SUMPRODUCT((Original!$C$3:$C$58='by Product &amp; AIM Area'!E$1)*(Original!$O$2:$AW$2='by Product &amp; AIM Area'!$B35)*(Original!$O$3:$AW$58))
/
SUMPRODUCT((Original!$C$3:$C$58='by Product &amp; AIM Area'!E$1)*(Original!$J$2:$AW$2='by Product &amp; AIM Area'!$B35))</f>
        <v>2</v>
      </c>
      <c r="F35" s="11" t="e">
        <f>SUMPRODUCT((Original!$C$3:$C$58='by Product &amp; AIM Area'!F$1)*(Original!$O$2:$AW$2='by Product &amp; AIM Area'!$B35)*(Original!$O$3:$AW$58))
/
SUMPRODUCT((Original!$C$3:$C$58='by Product &amp; AIM Area'!F$1)*(Original!$J$2:$AW$2='by Product &amp; AIM Area'!$B35))</f>
        <v>#DIV/0!</v>
      </c>
      <c r="G35" s="11" t="e">
        <f>SUMPRODUCT((Original!$C$3:$C$58='by Product &amp; AIM Area'!G$1)*(Original!$O$2:$AW$2='by Product &amp; AIM Area'!$B35)*(Original!$O$3:$AW$58))
/
SUMPRODUCT((Original!$C$3:$C$58='by Product &amp; AIM Area'!G$1)*(Original!$J$2:$AW$2='by Product &amp; AIM Area'!$B35))</f>
        <v>#DIV/0!</v>
      </c>
      <c r="H35" s="11" t="e">
        <f>SUMPRODUCT((Original!$C$3:$C$58='by Product &amp; AIM Area'!H$1)*(Original!$O$2:$AW$2='by Product &amp; AIM Area'!$B35)*(Original!$O$3:$AW$58))
/
SUMPRODUCT((Original!$C$3:$C$58='by Product &amp; AIM Area'!H$1)*(Original!$J$2:$AW$2='by Product &amp; AIM Area'!$B35))</f>
        <v>#DIV/0!</v>
      </c>
      <c r="I35" s="11">
        <f>SUMPRODUCT((Original!$C$3:$C$58='by Product &amp; AIM Area'!I$1)*(Original!$O$2:$AW$2='by Product &amp; AIM Area'!$B35)*(Original!$O$3:$AW$58))
/
SUMPRODUCT((Original!$C$3:$C$58='by Product &amp; AIM Area'!I$1)*(Original!$J$2:$AW$2='by Product &amp; AIM Area'!$B35))</f>
        <v>1</v>
      </c>
      <c r="J35" s="11">
        <f>SUMPRODUCT((Original!$C$3:$C$58='by Product &amp; AIM Area'!J$1)*(Original!$O$2:$AW$2='by Product &amp; AIM Area'!$B35)*(Original!$O$3:$AW$58))
/
SUMPRODUCT((Original!$C$3:$C$58='by Product &amp; AIM Area'!J$1)*(Original!$J$2:$AW$2='by Product &amp; AIM Area'!$B35))</f>
        <v>0</v>
      </c>
      <c r="K35" s="11" t="e">
        <f>SUMPRODUCT((Original!$C$3:$C$58='by Product &amp; AIM Area'!K$1)*(Original!$O$2:$AW$2='by Product &amp; AIM Area'!$B35)*(Original!$O$3:$AW$58))
/
SUMPRODUCT((Original!$C$3:$C$58='by Product &amp; AIM Area'!K$1)*(Original!$J$2:$AW$2='by Product &amp; AIM Area'!$B35))</f>
        <v>#DIV/0!</v>
      </c>
      <c r="L35" s="11" t="e">
        <f>SUMPRODUCT((Original!$C$3:$C$58='by Product &amp; AIM Area'!L$1)*(Original!$O$2:$AW$2='by Product &amp; AIM Area'!$B35)*(Original!$O$3:$AW$58))
/
SUMPRODUCT((Original!$C$3:$C$58='by Product &amp; AIM Area'!L$1)*(Original!$J$2:$AW$2='by Product &amp; AIM Area'!$B35))</f>
        <v>#DIV/0!</v>
      </c>
      <c r="M35" s="11">
        <f>SUMPRODUCT((Original!$C$3:$C$58='by Product &amp; AIM Area'!M$1)*(Original!$O$2:$AW$2='by Product &amp; AIM Area'!$B35)*(Original!$O$3:$AW$58))
/
SUMPRODUCT((Original!$C$3:$C$58='by Product &amp; AIM Area'!M$1)*(Original!$J$2:$AW$2='by Product &amp; AIM Area'!$B35))</f>
        <v>0</v>
      </c>
      <c r="N35" s="11" t="e">
        <f>SUMPRODUCT((Original!$C$3:$C$58='by Product &amp; AIM Area'!N$1)*(Original!$O$2:$AW$2='by Product &amp; AIM Area'!$B35)*(Original!$O$3:$AW$58))
/
SUMPRODUCT((Original!$C$3:$C$58='by Product &amp; AIM Area'!N$1)*(Original!$J$2:$AW$2='by Product &amp; AIM Area'!$B35))</f>
        <v>#DIV/0!</v>
      </c>
      <c r="O35" s="11">
        <f>SUMPRODUCT((Original!$C$3:$C$58='by Product &amp; AIM Area'!O$1)*(Original!$O$2:$AW$2='by Product &amp; AIM Area'!$B35)*(Original!$O$3:$AW$58))
/
SUMPRODUCT((Original!$C$3:$C$58='by Product &amp; AIM Area'!O$1)*(Original!$J$2:$AW$2='by Product &amp; AIM Area'!$B35))</f>
        <v>1</v>
      </c>
      <c r="P35" s="11" t="e">
        <f>SUMPRODUCT((Original!$C$3:$C$58='by Product &amp; AIM Area'!P$1)*(Original!$O$2:$AW$2='by Product &amp; AIM Area'!$B35)*(Original!$O$3:$AW$58))
/
SUMPRODUCT((Original!$C$3:$C$58='by Product &amp; AIM Area'!P$1)*(Original!$J$2:$AW$2='by Product &amp; AIM Area'!$B35))</f>
        <v>#DIV/0!</v>
      </c>
      <c r="Q35" s="11">
        <f>SUMPRODUCT((Original!$C$3:$C$58='by Product &amp; AIM Area'!Q$1)*(Original!$O$2:$AW$2='by Product &amp; AIM Area'!$B35)*(Original!$O$3:$AW$58))
/
SUMPRODUCT((Original!$C$3:$C$58='by Product &amp; AIM Area'!Q$1)*(Original!$J$2:$AW$2='by Product &amp; AIM Area'!$B35))</f>
        <v>1</v>
      </c>
      <c r="R35" s="11">
        <f>SUMPRODUCT((Original!$C$3:$C$58='by Product &amp; AIM Area'!R$1)*(Original!$O$2:$AW$2='by Product &amp; AIM Area'!$B35)*(Original!$O$3:$AW$58))
/
SUMPRODUCT((Original!$C$3:$C$58='by Product &amp; AIM Area'!R$1)*(Original!$J$2:$AW$2='by Product &amp; AIM Area'!$B35))</f>
        <v>0.25</v>
      </c>
      <c r="S35" s="11">
        <f>SUMPRODUCT((Original!$C$3:$C$58='by Product &amp; AIM Area'!S$1)*(Original!$O$2:$AW$2='by Product &amp; AIM Area'!$B35)*(Original!$O$3:$AW$58))
/
SUMPRODUCT((Original!$C$3:$C$58='by Product &amp; AIM Area'!S$1)*(Original!$J$2:$AW$2='by Product &amp; AIM Area'!$B35))</f>
        <v>0.375</v>
      </c>
      <c r="T35" s="11">
        <f>SUMPRODUCT((Original!$C$3:$C$58='by Product &amp; AIM Area'!T$1)*(Original!$O$2:$AW$2='by Product &amp; AIM Area'!$B35)*(Original!$O$3:$AW$58))
/
SUMPRODUCT((Original!$C$3:$C$58='by Product &amp; AIM Area'!T$1)*(Original!$J$2:$AW$2='by Product &amp; AIM Area'!$B35))</f>
        <v>1</v>
      </c>
      <c r="U35" s="11" t="e">
        <f>SUMPRODUCT((Original!$C$3:$C$58='by Product &amp; AIM Area'!U$1)*(Original!$O$2:$AW$2='by Product &amp; AIM Area'!$B35)*(Original!$O$3:$AW$58))
/
SUMPRODUCT((Original!$C$3:$C$58='by Product &amp; AIM Area'!U$1)*(Original!$J$2:$AW$2='by Product &amp; AIM Area'!$B35))</f>
        <v>#DIV/0!</v>
      </c>
      <c r="V35" s="11">
        <f>SUMPRODUCT((Original!$C$3:$C$58='by Product &amp; AIM Area'!V$1)*(Original!$O$2:$AW$2='by Product &amp; AIM Area'!$B35)*(Original!$O$3:$AW$58))
/
SUMPRODUCT((Original!$C$3:$C$58='by Product &amp; AIM Area'!V$1)*(Original!$J$2:$AW$2='by Product &amp; AIM Area'!$B35))</f>
        <v>0</v>
      </c>
      <c r="W35" s="11">
        <f>SUMPRODUCT((Original!$C$3:$C$58='by Product &amp; AIM Area'!W$1)*(Original!$O$2:$AW$2='by Product &amp; AIM Area'!$B35)*(Original!$O$3:$AW$58))
/
SUMPRODUCT((Original!$C$3:$C$58='by Product &amp; AIM Area'!W$1)*(Original!$J$2:$AW$2='by Product &amp; AIM Area'!$B35))</f>
        <v>0</v>
      </c>
      <c r="X35" s="11" t="e">
        <f>SUMPRODUCT((Original!$C$3:$C$58='by Product &amp; AIM Area'!X$1)*(Original!$O$2:$AW$2='by Product &amp; AIM Area'!$B35)*(Original!$O$3:$AW$58))
/
SUMPRODUCT((Original!$C$3:$C$58='by Product &amp; AIM Area'!X$1)*(Original!$J$2:$AW$2='by Product &amp; AIM Area'!$B35))</f>
        <v>#DIV/0!</v>
      </c>
      <c r="Y35" s="11" t="e">
        <f>SUMPRODUCT((Original!$C$3:$C$58='by Product &amp; AIM Area'!Y$1)*(Original!$O$2:$AW$2='by Product &amp; AIM Area'!$B35)*(Original!$O$3:$AW$58))
/
SUMPRODUCT((Original!$C$3:$C$58='by Product &amp; AIM Area'!Y$1)*(Original!$J$2:$AW$2='by Product &amp; AIM Area'!$B35))</f>
        <v>#DIV/0!</v>
      </c>
      <c r="Z35" s="11">
        <f>SUMPRODUCT((Original!$C$3:$C$58='by Product &amp; AIM Area'!Z$1)*(Original!$O$2:$AW$2='by Product &amp; AIM Area'!$B35)*(Original!$O$3:$AW$58))
/
SUMPRODUCT((Original!$C$3:$C$58='by Product &amp; AIM Area'!Z$1)*(Original!$J$2:$AW$2='by Product &amp; AIM Area'!$B35))</f>
        <v>0</v>
      </c>
      <c r="AA35" s="11">
        <f>SUMPRODUCT((Original!$C$3:$C$58='by Product &amp; AIM Area'!AA$1)*(Original!$O$2:$AW$2='by Product &amp; AIM Area'!$B35)*(Original!$O$3:$AW$58))
/
SUMPRODUCT((Original!$C$3:$C$58='by Product &amp; AIM Area'!AA$1)*(Original!$J$2:$AW$2='by Product &amp; AIM Area'!$B35))</f>
        <v>0</v>
      </c>
      <c r="AB35" s="11">
        <f>SUMPRODUCT((Original!$C$3:$C$58='by Product &amp; AIM Area'!AB$1)*(Original!$O$2:$AW$2='by Product &amp; AIM Area'!$B35)*(Original!$O$3:$AW$58))
/
SUMPRODUCT((Original!$C$3:$C$58='by Product &amp; AIM Area'!AB$1)*(Original!$J$2:$AW$2='by Product &amp; AIM Area'!$B35))</f>
        <v>0</v>
      </c>
      <c r="AC35" s="11">
        <f>SUMPRODUCT((Original!$C$3:$C$58='by Product &amp; AIM Area'!AC$1)*(Original!$O$2:$AW$2='by Product &amp; AIM Area'!$B35)*(Original!$O$3:$AW$58))
/
SUMPRODUCT((Original!$C$3:$C$58='by Product &amp; AIM Area'!AC$1)*(Original!$J$2:$AW$2='by Product &amp; AIM Area'!$B35))</f>
        <v>0</v>
      </c>
      <c r="AD35" s="11" t="e">
        <f t="shared" si="0"/>
        <v>#DIV/0!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dimension ref="B3:F6"/>
  <sheetViews>
    <sheetView workbookViewId="0">
      <selection activeCell="B6" sqref="B6"/>
    </sheetView>
  </sheetViews>
  <sheetFormatPr defaultRowHeight="15"/>
  <cols>
    <col min="2" max="2" width="15" bestFit="1" customWidth="1"/>
  </cols>
  <sheetData>
    <row r="3" spans="2:6">
      <c r="B3" s="18" t="s">
        <v>13</v>
      </c>
      <c r="D3" s="19" t="s">
        <v>339</v>
      </c>
      <c r="F3" s="19" t="s">
        <v>340</v>
      </c>
    </row>
    <row r="4" spans="2:6">
      <c r="B4" t="s">
        <v>297</v>
      </c>
      <c r="D4" t="s">
        <v>75</v>
      </c>
      <c r="F4" t="s">
        <v>75</v>
      </c>
    </row>
    <row r="5" spans="2:6">
      <c r="B5" t="s">
        <v>121</v>
      </c>
      <c r="D5" t="s">
        <v>87</v>
      </c>
      <c r="F5" t="s">
        <v>74</v>
      </c>
    </row>
    <row r="6" spans="2:6">
      <c r="B6" t="s">
        <v>73</v>
      </c>
      <c r="D6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D0444-826B-4D7B-A26F-A4D0B43A40A8}"/>
</file>

<file path=customXml/itemProps2.xml><?xml version="1.0" encoding="utf-8"?>
<ds:datastoreItem xmlns:ds="http://schemas.openxmlformats.org/officeDocument/2006/customXml" ds:itemID="{E7CE2235-ABA0-4BD1-9A09-1ECCE9A4A453}"/>
</file>

<file path=customXml/itemProps3.xml><?xml version="1.0" encoding="utf-8"?>
<ds:datastoreItem xmlns:ds="http://schemas.openxmlformats.org/officeDocument/2006/customXml" ds:itemID="{1F0D829D-8FB5-40ED-859A-1E13065E3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erezm</dc:creator>
  <cp:keywords/>
  <dc:description/>
  <cp:lastModifiedBy>Morabia, Erez (Erez)</cp:lastModifiedBy>
  <cp:revision/>
  <dcterms:created xsi:type="dcterms:W3CDTF">2019-10-06T08:23:33Z</dcterms:created>
  <dcterms:modified xsi:type="dcterms:W3CDTF">2020-03-08T07:03:22Z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